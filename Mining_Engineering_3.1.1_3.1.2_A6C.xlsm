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27" activeTab="34"/>
  </bookViews>
  <sheets>
    <sheet name="CS_ELECT" sheetId="20" r:id="rId1"/>
    <sheet name="HSS_ELECT" sheetId="21" r:id="rId2"/>
    <sheet name="LANG_ELECT" sheetId="22" r:id="rId3"/>
    <sheet name="NSCI_ELECT" sheetId="25" r:id="rId4"/>
    <sheet name="TECH_ELECT" sheetId="29" r:id="rId5"/>
    <sheet name="RES_ELECT" sheetId="28" r:id="rId6"/>
    <sheet name="MINE201" sheetId="51" r:id="rId7"/>
    <sheet name="MINE202" sheetId="52" r:id="rId8"/>
    <sheet name="MINE204" sheetId="53" r:id="rId9"/>
    <sheet name="MINE244" sheetId="54" r:id="rId10"/>
    <sheet name="MINE267" sheetId="55" r:id="rId11"/>
    <sheet name="MINE268" sheetId="56" r:id="rId12"/>
    <sheet name="MINE307" sheetId="57" r:id="rId13"/>
    <sheet name="MINE321" sheetId="58" r:id="rId14"/>
    <sheet name="MINE324" sheetId="59" r:id="rId15"/>
    <sheet name="MINE325" sheetId="60" r:id="rId16"/>
    <sheet name="MINE326" sheetId="61" r:id="rId17"/>
    <sheet name="MINE330" sheetId="62" r:id="rId18"/>
    <sheet name="MINE331" sheetId="63" r:id="rId19"/>
    <sheet name="MINE339" sheetId="64" r:id="rId20"/>
    <sheet name="MINE341" sheetId="65" r:id="rId21"/>
    <sheet name="MINE459" sheetId="66" r:id="rId22"/>
    <sheet name="MINE422" sheetId="67" r:id="rId23"/>
    <sheet name="MINE434" sheetId="68" r:id="rId24"/>
    <sheet name="MINE445" sheetId="69" r:id="rId25"/>
    <sheet name="MINE448" sheetId="70" r:id="rId26"/>
    <sheet name="MINE451" sheetId="71" r:id="rId27"/>
    <sheet name="MINE455" sheetId="72" r:id="rId28"/>
    <sheet name="MINE458" sheetId="73" r:id="rId29"/>
    <sheet name="MINE460" sheetId="74" r:id="rId30"/>
    <sheet name="MINE462" sheetId="75" r:id="rId31"/>
    <sheet name="MINE467" sheetId="76" r:id="rId32"/>
    <sheet name="MINE469" sheetId="77" r:id="rId33"/>
    <sheet name="MINE471" sheetId="78" r:id="rId34"/>
    <sheet name="MINE472" sheetId="79" r:id="rId35"/>
    <sheet name="CIS" sheetId="8" r:id="rId36"/>
    <sheet name="FIC" sheetId="47" r:id="rId37"/>
    <sheet name="3.1.1" sheetId="18" r:id="rId38"/>
    <sheet name="3.1.1a" sheetId="48" r:id="rId39"/>
    <sheet name="3.1.1b" sheetId="49" r:id="rId40"/>
    <sheet name="3.1.1c" sheetId="50" r:id="rId41"/>
    <sheet name="3.1.2" sheetId="38" r:id="rId42"/>
    <sheet name="LU" sheetId="30" r:id="rId43"/>
  </sheets>
  <functionGroups builtInGroupCount="18"/>
  <externalReferences>
    <externalReference r:id="rId44"/>
  </externalReferences>
  <definedNames>
    <definedName name="CLevelRef1" localSheetId="40">'3.1.1c'!$A$4:$A$103</definedName>
    <definedName name="CLevelRef1">'3.1.1b'!$A$4:$A$103</definedName>
    <definedName name="CLevelRef2" localSheetId="38">#REF!</definedName>
    <definedName name="CLevelRef2" localSheetId="40">'3.1.1c'!$A$4:$A$103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16">#REF!</definedName>
    <definedName name="CLevelRef2" localSheetId="17">#REF!</definedName>
    <definedName name="CLevelRef2" localSheetId="18">#REF!</definedName>
    <definedName name="CLevelRef2" localSheetId="19">#REF!</definedName>
    <definedName name="CLevelRef2" localSheetId="20">#REF!</definedName>
    <definedName name="CLevelRef2" localSheetId="22">#REF!</definedName>
    <definedName name="CLevelRef2" localSheetId="23">#REF!</definedName>
    <definedName name="CLevelRef2" localSheetId="24">#REF!</definedName>
    <definedName name="CLevelRef2" localSheetId="25">#REF!</definedName>
    <definedName name="CLevelRef2" localSheetId="26">#REF!</definedName>
    <definedName name="CLevelRef2" localSheetId="27">#REF!</definedName>
    <definedName name="CLevelRef2" localSheetId="28">#REF!</definedName>
    <definedName name="CLevelRef2" localSheetId="21">#REF!</definedName>
    <definedName name="CLevelRef2" localSheetId="29">#REF!</definedName>
    <definedName name="CLevelRef2" localSheetId="30">#REF!</definedName>
    <definedName name="CLevelRef2" localSheetId="31">#REF!</definedName>
    <definedName name="CLevelRef2" localSheetId="32">#REF!</definedName>
    <definedName name="CLevelRef2" localSheetId="33">#REF!</definedName>
    <definedName name="CLevelRef2" localSheetId="34">#REF!</definedName>
    <definedName name="CLevelRef2">#REF!</definedName>
    <definedName name="CLkUpRef">LU!$A$2:$C$97</definedName>
    <definedName name="CMapRef1" localSheetId="38">'3.1.1a'!$C$5:$J$107</definedName>
    <definedName name="CMapRef1">'3.1.1'!$C$5:$J$107</definedName>
    <definedName name="CMapRef2" localSheetId="38">'3.1.1a'!$C$5:$J$104</definedName>
    <definedName name="CMapRef2" localSheetId="40">#REF!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16">#REF!</definedName>
    <definedName name="CMapRef2" localSheetId="17">#REF!</definedName>
    <definedName name="CMapRef2" localSheetId="18">#REF!</definedName>
    <definedName name="CMapRef2" localSheetId="19">#REF!</definedName>
    <definedName name="CMapRef2" localSheetId="20">#REF!</definedName>
    <definedName name="CMapRef2" localSheetId="22">#REF!</definedName>
    <definedName name="CMapRef2" localSheetId="23">#REF!</definedName>
    <definedName name="CMapRef2" localSheetId="24">#REF!</definedName>
    <definedName name="CMapRef2" localSheetId="25">#REF!</definedName>
    <definedName name="CMapRef2" localSheetId="26">#REF!</definedName>
    <definedName name="CMapRef2" localSheetId="27">#REF!</definedName>
    <definedName name="CMapRef2" localSheetId="28">#REF!</definedName>
    <definedName name="CMapRef2" localSheetId="21">#REF!</definedName>
    <definedName name="CMapRef2" localSheetId="29">#REF!</definedName>
    <definedName name="CMapRef2" localSheetId="30">#REF!</definedName>
    <definedName name="CMapRef2" localSheetId="31">#REF!</definedName>
    <definedName name="CMapRef2" localSheetId="32">#REF!</definedName>
    <definedName name="CMapRef2" localSheetId="33">#REF!</definedName>
    <definedName name="CMapRef2" localSheetId="34">#REF!</definedName>
    <definedName name="CMapRef2">#REF!</definedName>
    <definedName name="CNameRef" localSheetId="36">[1]LU!$A$2:$A$101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37">'3.1.1'!$A$1:$J$67</definedName>
    <definedName name="_xlnm.Print_Area" localSheetId="38">'3.1.1a'!$A$1:$J$67</definedName>
    <definedName name="_xlnm.Print_Area" localSheetId="41">'3.1.2'!$A$1:$E$80</definedName>
    <definedName name="_xlnm.Print_Area" localSheetId="35">CIS!$A$1:$N$57</definedName>
    <definedName name="_xlnm.Print_Area" localSheetId="0">CS_ELECT!$A$1:$N$58</definedName>
    <definedName name="_xlnm.Print_Area" localSheetId="36">FIC!$A$1:$N$57</definedName>
    <definedName name="_xlnm.Print_Area" localSheetId="1">HSS_ELECT!$A$1:$N$58</definedName>
    <definedName name="_xlnm.Print_Area" localSheetId="2">LANG_ELECT!$A$1:$N$58</definedName>
    <definedName name="_xlnm.Print_Area" localSheetId="6">MINE201!$A$1:$N$57</definedName>
    <definedName name="_xlnm.Print_Area" localSheetId="7">MINE202!$A$1:$N$57</definedName>
    <definedName name="_xlnm.Print_Area" localSheetId="8">MINE204!$A$1:$N$57</definedName>
    <definedName name="_xlnm.Print_Area" localSheetId="9">MINE244!$A$1:$N$57</definedName>
    <definedName name="_xlnm.Print_Area" localSheetId="10">MINE267!$A$1:$N$57</definedName>
    <definedName name="_xlnm.Print_Area" localSheetId="11">MINE268!$A$1:$N$57</definedName>
    <definedName name="_xlnm.Print_Area" localSheetId="12">MINE307!$A$1:$N$57</definedName>
    <definedName name="_xlnm.Print_Area" localSheetId="13">MINE321!$A$1:$N$57</definedName>
    <definedName name="_xlnm.Print_Area" localSheetId="14">MINE324!$A$1:$N$57</definedName>
    <definedName name="_xlnm.Print_Area" localSheetId="15">MINE325!$A$1:$N$57</definedName>
    <definedName name="_xlnm.Print_Area" localSheetId="16">MINE326!$A$1:$N$57</definedName>
    <definedName name="_xlnm.Print_Area" localSheetId="17">MINE330!$A$1:$N$57</definedName>
    <definedName name="_xlnm.Print_Area" localSheetId="18">MINE331!$A$1:$N$57</definedName>
    <definedName name="_xlnm.Print_Area" localSheetId="19">MINE339!$A$1:$N$57</definedName>
    <definedName name="_xlnm.Print_Area" localSheetId="20">MINE341!$A$1:$N$57</definedName>
    <definedName name="_xlnm.Print_Area" localSheetId="22">MINE422!$A$1:$N$57</definedName>
    <definedName name="_xlnm.Print_Area" localSheetId="23">MINE434!$A$1:$N$57</definedName>
    <definedName name="_xlnm.Print_Area" localSheetId="24">MINE445!$A$1:$N$57</definedName>
    <definedName name="_xlnm.Print_Area" localSheetId="25">MINE448!$A$1:$N$57</definedName>
    <definedName name="_xlnm.Print_Area" localSheetId="26">MINE451!$A$1:$N$57</definedName>
    <definedName name="_xlnm.Print_Area" localSheetId="27">MINE455!$A$1:$N$57</definedName>
    <definedName name="_xlnm.Print_Area" localSheetId="28">MINE458!$A$1:$N$57</definedName>
    <definedName name="_xlnm.Print_Area" localSheetId="21">MINE459!$A$1:$N$57</definedName>
    <definedName name="_xlnm.Print_Area" localSheetId="29">MINE460!$A$1:$N$57</definedName>
    <definedName name="_xlnm.Print_Area" localSheetId="30">MINE462!$A$1:$N$57</definedName>
    <definedName name="_xlnm.Print_Area" localSheetId="31">MINE467!$A$1:$N$57</definedName>
    <definedName name="_xlnm.Print_Area" localSheetId="32">MINE469!$A$1:$N$57</definedName>
    <definedName name="_xlnm.Print_Area" localSheetId="33">MINE471!$A$1:$N$57</definedName>
    <definedName name="_xlnm.Print_Area" localSheetId="34">MINE472!$A$1:$N$57</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79" l="1"/>
  <c r="K10" i="79"/>
  <c r="I10" i="79"/>
  <c r="G10" i="79"/>
  <c r="E10" i="79"/>
  <c r="M10" i="78"/>
  <c r="K10" i="78"/>
  <c r="I10" i="78"/>
  <c r="G10" i="78"/>
  <c r="E10" i="78"/>
  <c r="M10" i="77"/>
  <c r="K10" i="77"/>
  <c r="I10" i="77"/>
  <c r="G10" i="77"/>
  <c r="E10" i="77"/>
  <c r="M10" i="76"/>
  <c r="K10" i="76"/>
  <c r="I10" i="76"/>
  <c r="G10" i="76"/>
  <c r="E10" i="76"/>
  <c r="M10" i="75"/>
  <c r="K10" i="75"/>
  <c r="I10" i="75"/>
  <c r="G10" i="75"/>
  <c r="E10" i="75"/>
  <c r="M10" i="74"/>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<sst xmlns="http://schemas.openxmlformats.org/spreadsheetml/2006/main" count="5369" uniqueCount="433">
  <si>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</si>
  <si>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</si>
  <si>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</si>
  <si>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</si>
  <si>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</si>
  <si>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</si>
  <si>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</si>
  <si>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</si>
  <si>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</si>
  <si>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</si>
  <si>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</si>
  <si>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</si>
  <si>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</si>
  <si>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</si>
  <si>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</si>
  <si>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</si>
  <si>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</si>
  <si>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</si>
  <si>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</si>
  <si>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</si>
  <si>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</si>
  <si>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</si>
  <si>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</si>
  <si>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</si>
  <si>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</si>
  <si>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</si>
  <si>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</si>
  <si>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</si>
  <si>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</si>
  <si>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</si>
  <si>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</si>
  <si>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</si>
  <si>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</si>
  <si>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</si>
  <si>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</si>
  <si>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</si>
  <si>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</si>
  <si>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</si>
  <si>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</si>
  <si>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</si>
  <si>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</si>
  <si>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</si>
  <si>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</si>
  <si>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</si>
  <si>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</si>
  <si>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</si>
  <si>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</si>
  <si>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</si>
  <si>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</si>
  <si>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</si>
  <si>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</si>
  <si>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</si>
  <si>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</si>
  <si>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</si>
  <si>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</si>
  <si>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</si>
  <si>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</si>
  <si>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</si>
  <si>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</si>
  <si>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</si>
  <si>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</si>
  <si>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</si>
  <si>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</si>
  <si>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</si>
  <si>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</si>
  <si>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</si>
  <si>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</si>
  <si>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</si>
  <si>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</si>
  <si>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</si>
  <si>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</si>
  <si>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</si>
  <si>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</si>
  <si>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</si>
  <si>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</si>
  <si>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</si>
  <si>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</si>
  <si>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</si>
  <si>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</si>
  <si>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</si>
  <si>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</si>
  <si>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</si>
  <si>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</si>
  <si>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</si>
  <si>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</si>
  <si>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</si>
  <si>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</si>
  <si>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</si>
  <si>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</si>
  <si>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</si>
  <si>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</si>
  <si>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</si>
  <si>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</si>
  <si>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</si>
  <si>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</si>
  <si>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</si>
  <si>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</si>
  <si>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</si>
  <si>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</si>
  <si>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</si>
  <si>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</si>
  <si>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</si>
  <si>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</si>
  <si>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</si>
  <si>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</si>
  <si>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</si>
  <si>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</si>
  <si>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</si>
  <si>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</si>
  <si>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</si>
  <si>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</si>
  <si>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</si>
  <si>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</si>
  <si>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</si>
  <si>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</si>
  <si>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</si>
  <si>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</si>
  <si>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</si>
  <si>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</si>
  <si>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</si>
  <si>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</si>
  <si>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</si>
  <si>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</si>
  <si>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</si>
  <si>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</si>
  <si>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</si>
  <si>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</si>
  <si>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</si>
  <si>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</si>
  <si>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</si>
  <si>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</si>
  <si>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</si>
  <si>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</si>
  <si>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</si>
  <si>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</si>
  <si>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</si>
  <si>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</si>
  <si>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</si>
  <si>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</si>
  <si>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</si>
  <si>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</si>
  <si>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</si>
  <si>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</si>
  <si>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</si>
  <si>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</si>
  <si>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</si>
  <si>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</si>
  <si>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</si>
  <si>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</si>
  <si>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</si>
  <si>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</si>
  <si>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</si>
  <si>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</si>
  <si>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</si>
  <si>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</si>
  <si>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</si>
  <si>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</si>
  <si>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</si>
  <si>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</si>
  <si>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</si>
  <si>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</si>
  <si>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</si>
  <si>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</si>
  <si>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</si>
  <si>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</si>
  <si>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</si>
  <si>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</si>
  <si>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</si>
  <si>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</si>
  <si>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</si>
  <si>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</si>
  <si>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</si>
  <si>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</si>
  <si>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</si>
  <si>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</si>
  <si>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</si>
  <si>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</si>
  <si>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</si>
  <si>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</si>
  <si>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</si>
  <si>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</si>
  <si>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</si>
  <si>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</si>
  <si>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</si>
  <si>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</si>
  <si>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</si>
  <si>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</si>
  <si>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</si>
  <si>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</si>
  <si>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</si>
  <si>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</si>
  <si>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</si>
  <si>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</si>
  <si>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</si>
  <si>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</si>
  <si>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</si>
  <si>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</si>
  <si>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</si>
  <si>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</si>
  <si>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</si>
  <si>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</si>
  <si>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</si>
  <si>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</si>
  <si>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</si>
  <si>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</si>
  <si>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</si>
  <si>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</si>
  <si>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</si>
  <si>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</si>
  <si>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</si>
  <si>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</si>
  <si>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</si>
  <si>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</si>
  <si>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</si>
  <si>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</si>
  <si>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</si>
  <si>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</si>
  <si>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</si>
  <si>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</si>
  <si>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</si>
  <si>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</si>
  <si>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</si>
  <si>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</si>
  <si>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</si>
  <si>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</si>
  <si>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</si>
  <si>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</si>
  <si>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</si>
  <si>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</si>
  <si>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</si>
  <si>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</si>
  <si>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</si>
  <si>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</si>
  <si>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</si>
  <si>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</si>
  <si>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</si>
  <si>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</si>
  <si>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</si>
  <si>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</si>
  <si>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</si>
  <si>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</si>
  <si>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</si>
  <si>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</si>
  <si>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</si>
  <si>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</si>
  <si>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</si>
  <si>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</si>
  <si>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</si>
  <si>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</si>
  <si>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</si>
  <si>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</si>
  <si>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</si>
  <si>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</si>
  <si>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</si>
  <si>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</si>
  <si>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</si>
  <si>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</si>
  <si>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</si>
  <si>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</si>
  <si>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</si>
  <si>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</si>
  <si>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</si>
  <si>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</si>
  <si>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</si>
  <si>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</si>
  <si>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</si>
  <si>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</si>
  <si>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</si>
  <si>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</si>
  <si>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</si>
  <si>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</si>
  <si>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</si>
  <si>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</si>
  <si>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</si>
  <si>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</si>
  <si>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</si>
  <si>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</si>
  <si>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</si>
  <si>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</si>
  <si>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</si>
  <si>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</si>
  <si>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</si>
  <si>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</si>
  <si>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</si>
  <si>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</si>
  <si>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</si>
  <si>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</si>
  <si>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</si>
  <si>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</si>
  <si>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</si>
  <si>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</si>
  <si>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</si>
  <si>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</si>
  <si>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</si>
  <si>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</si>
  <si>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</si>
  <si>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</si>
  <si>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</si>
  <si>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</si>
  <si>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</si>
  <si>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</si>
  <si>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</si>
  <si>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</si>
  <si>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</si>
  <si>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</si>
  <si>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</si>
  <si>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</si>
  <si>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</si>
  <si>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</si>
  <si>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</si>
  <si>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</si>
  <si>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</si>
  <si>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</si>
  <si>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</si>
  <si>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</si>
  <si>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</si>
  <si>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</si>
  <si>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</si>
  <si>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</si>
  <si>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</si>
  <si>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</si>
  <si>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</si>
  <si>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</si>
  <si>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</si>
  <si>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</si>
  <si>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</si>
  <si>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</si>
  <si>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</si>
  <si>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</si>
  <si>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</si>
  <si>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</si>
  <si>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</si>
  <si>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</si>
  <si>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</si>
  <si>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</si>
  <si>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</si>
  <si>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</si>
  <si>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</si>
  <si>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</si>
  <si>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</si>
  <si>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</si>
  <si>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</si>
  <si>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</si>
  <si>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</si>
  <si>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</si>
  <si>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</si>
  <si>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</si>
  <si>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</si>
  <si>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</si>
  <si>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</si>
  <si>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</si>
  <si>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</si>
  <si>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MINE 201</t>
  </si>
  <si>
    <t>Introduction to Mining and Mineral Processing</t>
  </si>
  <si>
    <t>0</t>
  </si>
  <si>
    <t>12</t>
  </si>
  <si>
    <t>36</t>
  </si>
  <si>
    <t>MINE 202</t>
  </si>
  <si>
    <t>Computer Applications and Instrumentation in Mining</t>
  </si>
  <si>
    <t>6</t>
  </si>
  <si>
    <t>MINE 204</t>
  </si>
  <si>
    <t>Introduction to Mineral Processing</t>
  </si>
  <si>
    <t>10</t>
  </si>
  <si>
    <t>32</t>
  </si>
  <si>
    <t>MINE 244</t>
  </si>
  <si>
    <t>Underground Mining</t>
  </si>
  <si>
    <t>16</t>
  </si>
  <si>
    <t>20</t>
  </si>
  <si>
    <t>MINE 267</t>
  </si>
  <si>
    <t>Applied Chemistry for Mining</t>
  </si>
  <si>
    <t>30</t>
  </si>
  <si>
    <t>MINE 268</t>
  </si>
  <si>
    <t>Analytical Methods in Mining</t>
  </si>
  <si>
    <t>3</t>
  </si>
  <si>
    <t>9</t>
  </si>
  <si>
    <t>MINE 307</t>
  </si>
  <si>
    <t>Front Line Supervision</t>
  </si>
  <si>
    <t>18</t>
  </si>
  <si>
    <t>MINE 321</t>
  </si>
  <si>
    <t>Drilling and Blasting</t>
  </si>
  <si>
    <t>14</t>
  </si>
  <si>
    <t>40</t>
  </si>
  <si>
    <t>MINE 324</t>
  </si>
  <si>
    <t>Hydraulics for Mining Applications</t>
  </si>
  <si>
    <t>MINE 325</t>
  </si>
  <si>
    <t>Applied Rock Mechanics</t>
  </si>
  <si>
    <t>54</t>
  </si>
  <si>
    <t>MINE 326</t>
  </si>
  <si>
    <t>Operations Research</t>
  </si>
  <si>
    <t>MINE 330</t>
  </si>
  <si>
    <t>Mineral Industry Economics</t>
  </si>
  <si>
    <t>42</t>
  </si>
  <si>
    <t>MINE 331</t>
  </si>
  <si>
    <t>Methods of Mineral Separation</t>
  </si>
  <si>
    <t>25</t>
  </si>
  <si>
    <t>15</t>
  </si>
  <si>
    <t>MINE 339</t>
  </si>
  <si>
    <t>Mine Ventilation</t>
  </si>
  <si>
    <t>MINE 341</t>
  </si>
  <si>
    <t>Open Pit Mining</t>
  </si>
  <si>
    <t>24</t>
  </si>
  <si>
    <t>MINE 459</t>
  </si>
  <si>
    <t>Reliability, Maintenance, and Risk Assessment</t>
  </si>
  <si>
    <t>MINE 422</t>
  </si>
  <si>
    <t>Mining and Sustainability</t>
  </si>
  <si>
    <t>MINE 434</t>
  </si>
  <si>
    <t>Project Report</t>
  </si>
  <si>
    <t>MINE 445</t>
  </si>
  <si>
    <t>Open Pit Mine Design</t>
  </si>
  <si>
    <t>46</t>
  </si>
  <si>
    <t>MINE 448</t>
  </si>
  <si>
    <t>Underground Design</t>
  </si>
  <si>
    <t>48</t>
  </si>
  <si>
    <t>MINE 451</t>
  </si>
  <si>
    <t>Chemical Extraction of Metals</t>
  </si>
  <si>
    <t>MINE 455</t>
  </si>
  <si>
    <t>Design, Analysis and Operation of Mineral Processes</t>
  </si>
  <si>
    <t>MINE 458</t>
  </si>
  <si>
    <t>Process Investigations</t>
  </si>
  <si>
    <t>MINE 460</t>
  </si>
  <si>
    <t>Special Topics in Mining Engineering</t>
  </si>
  <si>
    <t>27</t>
  </si>
  <si>
    <t>MINE 462</t>
  </si>
  <si>
    <t>Occupational Health and Safety in Mining Practice</t>
  </si>
  <si>
    <t>MINE 467</t>
  </si>
  <si>
    <t>Geostatistics and Orebody Modelling</t>
  </si>
  <si>
    <t>MINE 469</t>
  </si>
  <si>
    <t>Stability Analysis in Mine Design</t>
  </si>
  <si>
    <t>MINE 471</t>
  </si>
  <si>
    <t>Mine-Mechanical Design Project</t>
  </si>
  <si>
    <t>MINE 472</t>
  </si>
  <si>
    <t>Mining Systems, Automation, and Robotics</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</si>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</sst>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1</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354</v>
      </c>
      <c r="J11" s="159"/>
      <c r="K11" s="159" t="s">
        <v>356</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357</v>
      </c>
      <c r="D3" s="168"/>
      <c r="E3" s="168"/>
      <c r="F3" s="168"/>
      <c r="G3" s="168"/>
      <c r="H3" s="168"/>
      <c r="I3" s="168"/>
      <c r="J3" s="168"/>
      <c r="K3" s="168"/>
      <c r="L3" s="168"/>
      <c r="M3" s="168"/>
      <c r="N3" s="168"/>
      <c r="P3" s="4">
        <v>6</v>
      </c>
      <c r="Q3" s="4">
        <v>10</v>
      </c>
      <c r="R3" s="2"/>
      <c r="S3" s="2"/>
    </row>
    <row r="4" spans="1:24" ht="13.5" customHeight="1">
      <c r="A4" s="161" t="s">
        <v>25</v>
      </c>
      <c r="B4" s="161"/>
      <c r="C4" s="162" t="s">
        <v>358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0.33333333333333331</v>
      </c>
      <c r="L10" s="158"/>
      <c r="M10" s="158">
        <f>$M$11/$D$11</f>
        <v>0.16666666666666666</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355</v>
      </c>
      <c r="L11" s="159"/>
      <c r="M11" s="159" t="s">
        <v>359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1.5</v>
      </c>
      <c r="E26" s="152"/>
      <c r="F26" s="114">
        <v>0</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360</v>
      </c>
      <c r="D3" s="168"/>
      <c r="E3" s="168"/>
      <c r="F3" s="168"/>
      <c r="G3" s="168"/>
      <c r="H3" s="168"/>
      <c r="I3" s="168"/>
      <c r="J3" s="168"/>
      <c r="K3" s="168"/>
      <c r="L3" s="168"/>
      <c r="M3" s="168"/>
      <c r="N3" s="168"/>
      <c r="P3" s="4">
        <v>6</v>
      </c>
      <c r="Q3" s="4">
        <v>10</v>
      </c>
      <c r="R3" s="2"/>
      <c r="S3" s="2"/>
    </row>
    <row r="4" spans="1:24" ht="13.5" customHeight="1">
      <c r="A4" s="161" t="s">
        <v>25</v>
      </c>
      <c r="B4" s="161"/>
      <c r="C4" s="162" t="s">
        <v>361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0.27777777777777779</v>
      </c>
      <c r="H10" s="158"/>
      <c r="I10" s="158">
        <f>$I$11/$D$11</f>
        <v>0</v>
      </c>
      <c r="J10" s="158"/>
      <c r="K10" s="158">
        <f>$K$11/$D$11</f>
        <v>0.88888888888888884</v>
      </c>
      <c r="L10" s="158"/>
      <c r="M10" s="158">
        <f>$M$11/$D$11</f>
        <v>0</v>
      </c>
      <c r="N10" s="158"/>
      <c r="P10" s="14">
        <v>0</v>
      </c>
      <c r="Q10" s="14">
        <v>1</v>
      </c>
      <c r="R10" s="2"/>
      <c r="S10" s="2"/>
      <c r="T10" s="10"/>
    </row>
    <row r="11" spans="1:24" ht="13.5" customHeight="1">
      <c r="A11" s="150"/>
      <c r="B11" s="150"/>
      <c r="C11" s="133" t="s">
        <v>42</v>
      </c>
      <c r="D11" s="132">
        <v>36</v>
      </c>
      <c r="E11" s="159" t="s">
        <v>354</v>
      </c>
      <c r="F11" s="159"/>
      <c r="G11" s="159" t="s">
        <v>362</v>
      </c>
      <c r="H11" s="159"/>
      <c r="I11" s="159" t="s">
        <v>354</v>
      </c>
      <c r="J11" s="159"/>
      <c r="K11" s="159" t="s">
        <v>363</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364</v>
      </c>
      <c r="D3" s="168"/>
      <c r="E3" s="168"/>
      <c r="F3" s="168"/>
      <c r="G3" s="168"/>
      <c r="H3" s="168"/>
      <c r="I3" s="168"/>
      <c r="J3" s="168"/>
      <c r="K3" s="168"/>
      <c r="L3" s="168"/>
      <c r="M3" s="168"/>
      <c r="N3" s="168"/>
      <c r="P3" s="4">
        <v>6</v>
      </c>
      <c r="Q3" s="4">
        <v>10</v>
      </c>
      <c r="R3" s="2"/>
      <c r="S3" s="2"/>
    </row>
    <row r="4" spans="1:24" ht="13.5" customHeight="1">
      <c r="A4" s="161" t="s">
        <v>25</v>
      </c>
      <c r="B4" s="161"/>
      <c r="C4" s="162" t="s">
        <v>365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0.44444444444444442</v>
      </c>
      <c r="L10" s="158"/>
      <c r="M10" s="158">
        <f>$M$11/$D$11</f>
        <v>0.55555555555555558</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366</v>
      </c>
      <c r="L11" s="159"/>
      <c r="M11" s="159" t="s">
        <v>367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368</v>
      </c>
      <c r="D3" s="168"/>
      <c r="E3" s="168"/>
      <c r="F3" s="168"/>
      <c r="G3" s="168"/>
      <c r="H3" s="168"/>
      <c r="I3" s="168"/>
      <c r="J3" s="168"/>
      <c r="K3" s="168"/>
      <c r="L3" s="168"/>
      <c r="M3" s="168"/>
      <c r="N3" s="168"/>
      <c r="P3" s="4">
        <v>6</v>
      </c>
      <c r="Q3" s="4">
        <v>10</v>
      </c>
      <c r="R3" s="2"/>
      <c r="S3" s="2"/>
    </row>
    <row r="4" spans="1:24" ht="13.5" customHeight="1">
      <c r="A4" s="161" t="s">
        <v>25</v>
      </c>
      <c r="B4" s="161"/>
      <c r="C4" s="162" t="s">
        <v>369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354</v>
      </c>
      <c r="J11" s="159"/>
      <c r="K11" s="159" t="s">
        <v>370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371</v>
      </c>
      <c r="D3" s="168"/>
      <c r="E3" s="168"/>
      <c r="F3" s="168"/>
      <c r="G3" s="168"/>
      <c r="H3" s="168"/>
      <c r="I3" s="168"/>
      <c r="J3" s="168"/>
      <c r="K3" s="168"/>
      <c r="L3" s="168"/>
      <c r="M3" s="168"/>
      <c r="N3" s="168"/>
      <c r="P3" s="4">
        <v>6</v>
      </c>
      <c r="Q3" s="4">
        <v>10</v>
      </c>
      <c r="R3" s="2"/>
      <c r="S3" s="2"/>
    </row>
    <row r="4" spans="1:24" ht="13.5" customHeight="1">
      <c r="A4" s="161" t="s">
        <v>25</v>
      </c>
      <c r="B4" s="161"/>
      <c r="C4" s="162" t="s">
        <v>372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8.3333333333333329E-2</v>
      </c>
      <c r="H10" s="158"/>
      <c r="I10" s="158">
        <f>$I$11/$D$11</f>
        <v>0</v>
      </c>
      <c r="J10" s="158"/>
      <c r="K10" s="158">
        <f>$K$11/$D$11</f>
        <v>0.25</v>
      </c>
      <c r="L10" s="158"/>
      <c r="M10" s="158">
        <f>$M$11/$D$11</f>
        <v>0</v>
      </c>
      <c r="N10" s="158"/>
      <c r="P10" s="14">
        <v>0</v>
      </c>
      <c r="Q10" s="14">
        <v>1</v>
      </c>
      <c r="R10" s="2"/>
      <c r="S10" s="2"/>
      <c r="T10" s="10"/>
    </row>
    <row r="11" spans="1:24" ht="13.5" customHeight="1">
      <c r="A11" s="150"/>
      <c r="B11" s="150"/>
      <c r="C11" s="133" t="s">
        <v>42</v>
      </c>
      <c r="D11" s="132">
        <v>36</v>
      </c>
      <c r="E11" s="159" t="s">
        <v>354</v>
      </c>
      <c r="F11" s="159"/>
      <c r="G11" s="159" t="s">
        <v>373</v>
      </c>
      <c r="H11" s="159"/>
      <c r="I11" s="159" t="s">
        <v>354</v>
      </c>
      <c r="J11" s="159"/>
      <c r="K11" s="159" t="s">
        <v>374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1</v>
      </c>
      <c r="E26" s="152"/>
      <c r="F26" s="114">
        <v>0</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375</v>
      </c>
      <c r="D3" s="168"/>
      <c r="E3" s="168"/>
      <c r="F3" s="168"/>
      <c r="G3" s="168"/>
      <c r="H3" s="168"/>
      <c r="I3" s="168"/>
      <c r="J3" s="168"/>
      <c r="K3" s="168"/>
      <c r="L3" s="168"/>
      <c r="M3" s="168"/>
      <c r="N3" s="168"/>
      <c r="P3" s="4">
        <v>6</v>
      </c>
      <c r="Q3" s="4">
        <v>10</v>
      </c>
      <c r="R3" s="2"/>
      <c r="S3" s="2"/>
    </row>
    <row r="4" spans="1:24" ht="13.5" customHeight="1">
      <c r="A4" s="161" t="s">
        <v>25</v>
      </c>
      <c r="B4" s="161"/>
      <c r="C4" s="162" t="s">
        <v>376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377</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1.5</v>
      </c>
      <c r="E26" s="152"/>
      <c r="F26" s="114">
        <v>1.25</v>
      </c>
      <c r="G26" s="114">
        <v>0.25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378</v>
      </c>
      <c r="D3" s="168"/>
      <c r="E3" s="168"/>
      <c r="F3" s="168"/>
      <c r="G3" s="168"/>
      <c r="H3" s="168"/>
      <c r="I3" s="168"/>
      <c r="J3" s="168"/>
      <c r="K3" s="168"/>
      <c r="L3" s="168"/>
      <c r="M3" s="168"/>
      <c r="N3" s="168"/>
      <c r="P3" s="4">
        <v>6</v>
      </c>
      <c r="Q3" s="4">
        <v>10</v>
      </c>
      <c r="R3" s="2"/>
      <c r="S3" s="2"/>
    </row>
    <row r="4" spans="1:24" ht="13.5" customHeight="1">
      <c r="A4" s="161" t="s">
        <v>25</v>
      </c>
      <c r="B4" s="161"/>
      <c r="C4" s="162" t="s">
        <v>379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0.3888888888888889</v>
      </c>
      <c r="H10" s="158"/>
      <c r="I10" s="158">
        <f>$I$11/$D$11</f>
        <v>0</v>
      </c>
      <c r="J10" s="158"/>
      <c r="K10" s="158">
        <f>$K$11/$D$11</f>
        <v>1.1111111111111112</v>
      </c>
      <c r="L10" s="158"/>
      <c r="M10" s="158">
        <f>$M$11/$D$11</f>
        <v>0</v>
      </c>
      <c r="N10" s="158"/>
      <c r="P10" s="14">
        <v>0</v>
      </c>
      <c r="Q10" s="14">
        <v>1</v>
      </c>
      <c r="R10" s="2"/>
      <c r="S10" s="2"/>
      <c r="T10" s="10"/>
    </row>
    <row r="11" spans="1:24" ht="13.5" customHeight="1">
      <c r="A11" s="150"/>
      <c r="B11" s="150"/>
      <c r="C11" s="133" t="s">
        <v>42</v>
      </c>
      <c r="D11" s="132">
        <v>36</v>
      </c>
      <c r="E11" s="159" t="s">
        <v>354</v>
      </c>
      <c r="F11" s="159"/>
      <c r="G11" s="159" t="s">
        <v>380</v>
      </c>
      <c r="H11" s="159"/>
      <c r="I11" s="159" t="s">
        <v>354</v>
      </c>
      <c r="J11" s="159"/>
      <c r="K11" s="159" t="s">
        <v>381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382</v>
      </c>
      <c r="D3" s="168"/>
      <c r="E3" s="168"/>
      <c r="F3" s="168"/>
      <c r="G3" s="168"/>
      <c r="H3" s="168"/>
      <c r="I3" s="168"/>
      <c r="J3" s="168"/>
      <c r="K3" s="168"/>
      <c r="L3" s="168"/>
      <c r="M3" s="168"/>
      <c r="N3" s="168"/>
      <c r="P3" s="4">
        <v>6</v>
      </c>
      <c r="Q3" s="4">
        <v>10</v>
      </c>
      <c r="R3" s="2"/>
      <c r="S3" s="2"/>
    </row>
    <row r="4" spans="1:24" ht="13.5" customHeight="1">
      <c r="A4" s="161" t="s">
        <v>25</v>
      </c>
      <c r="B4" s="161"/>
      <c r="C4" s="162" t="s">
        <v>383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354</v>
      </c>
      <c r="J11" s="159"/>
      <c r="K11" s="159" t="s">
        <v>370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384</v>
      </c>
      <c r="D3" s="168"/>
      <c r="E3" s="168"/>
      <c r="F3" s="168"/>
      <c r="G3" s="168"/>
      <c r="H3" s="168"/>
      <c r="I3" s="168"/>
      <c r="J3" s="168"/>
      <c r="K3" s="168"/>
      <c r="L3" s="168"/>
      <c r="M3" s="168"/>
      <c r="N3" s="168"/>
      <c r="P3" s="4">
        <v>6</v>
      </c>
      <c r="Q3" s="4">
        <v>10</v>
      </c>
      <c r="R3" s="2"/>
      <c r="S3" s="2"/>
    </row>
    <row r="4" spans="1:24" ht="13.5" customHeight="1">
      <c r="A4" s="161" t="s">
        <v>25</v>
      </c>
      <c r="B4" s="161"/>
      <c r="C4" s="162" t="s">
        <v>385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1.5</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386</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387</v>
      </c>
      <c r="D3" s="168"/>
      <c r="E3" s="168"/>
      <c r="F3" s="168"/>
      <c r="G3" s="168"/>
      <c r="H3" s="168"/>
      <c r="I3" s="168"/>
      <c r="J3" s="168"/>
      <c r="K3" s="168"/>
      <c r="L3" s="168"/>
      <c r="M3" s="168"/>
      <c r="N3" s="168"/>
      <c r="P3" s="4">
        <v>6</v>
      </c>
      <c r="Q3" s="4">
        <v>10</v>
      </c>
      <c r="R3" s="2"/>
      <c r="S3" s="2"/>
    </row>
    <row r="4" spans="1:24" ht="13.5" customHeight="1">
      <c r="A4" s="161" t="s">
        <v>25</v>
      </c>
      <c r="B4" s="161"/>
      <c r="C4" s="162" t="s">
        <v>388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0.55555555555555558</v>
      </c>
      <c r="F10" s="158"/>
      <c r="G10" s="158">
        <f>$G$11/$D$11</f>
        <v>0</v>
      </c>
      <c r="H10" s="158"/>
      <c r="I10" s="158">
        <f>$I$11/$D$11</f>
        <v>0</v>
      </c>
      <c r="J10" s="158"/>
      <c r="K10" s="158">
        <f>$K$11/$D$11</f>
        <v>0.3888888888888889</v>
      </c>
      <c r="L10" s="158"/>
      <c r="M10" s="158">
        <f>$M$11/$D$11</f>
        <v>0.55555555555555558</v>
      </c>
      <c r="N10" s="158"/>
      <c r="P10" s="14">
        <v>0</v>
      </c>
      <c r="Q10" s="14">
        <v>1</v>
      </c>
      <c r="R10" s="2"/>
      <c r="S10" s="2"/>
      <c r="T10" s="10"/>
    </row>
    <row r="11" spans="1:24" ht="13.5" customHeight="1">
      <c r="A11" s="150"/>
      <c r="B11" s="150"/>
      <c r="C11" s="133" t="s">
        <v>42</v>
      </c>
      <c r="D11" s="132">
        <v>36</v>
      </c>
      <c r="E11" s="159" t="s">
        <v>367</v>
      </c>
      <c r="F11" s="159"/>
      <c r="G11" s="159" t="s">
        <v>354</v>
      </c>
      <c r="H11" s="159"/>
      <c r="I11" s="159" t="s">
        <v>354</v>
      </c>
      <c r="J11" s="159"/>
      <c r="K11" s="159" t="s">
        <v>380</v>
      </c>
      <c r="L11" s="159"/>
      <c r="M11" s="159" t="s">
        <v>367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389</v>
      </c>
      <c r="D3" s="168"/>
      <c r="E3" s="168"/>
      <c r="F3" s="168"/>
      <c r="G3" s="168"/>
      <c r="H3" s="168"/>
      <c r="I3" s="168"/>
      <c r="J3" s="168"/>
      <c r="K3" s="168"/>
      <c r="L3" s="168"/>
      <c r="M3" s="168"/>
      <c r="N3" s="168"/>
      <c r="P3" s="4">
        <v>6</v>
      </c>
      <c r="Q3" s="4">
        <v>10</v>
      </c>
      <c r="R3" s="2"/>
      <c r="S3" s="2"/>
    </row>
    <row r="4" spans="1:24" ht="13.5" customHeight="1">
      <c r="A4" s="161" t="s">
        <v>25</v>
      </c>
      <c r="B4" s="161"/>
      <c r="C4" s="162" t="s">
        <v>390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1.1666666666666667</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391</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392</v>
      </c>
      <c r="D3" s="168"/>
      <c r="E3" s="168"/>
      <c r="F3" s="168"/>
      <c r="G3" s="168"/>
      <c r="H3" s="168"/>
      <c r="I3" s="168"/>
      <c r="J3" s="168"/>
      <c r="K3" s="168"/>
      <c r="L3" s="168"/>
      <c r="M3" s="168"/>
      <c r="N3" s="168"/>
      <c r="P3" s="4">
        <v>6</v>
      </c>
      <c r="Q3" s="4">
        <v>10</v>
      </c>
      <c r="R3" s="2"/>
      <c r="S3" s="2"/>
    </row>
    <row r="4" spans="1:24" ht="13.5" customHeight="1">
      <c r="A4" s="161" t="s">
        <v>25</v>
      </c>
      <c r="B4" s="161"/>
      <c r="C4" s="162" t="s">
        <v>393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0.3888888888888889</v>
      </c>
      <c r="H10" s="158"/>
      <c r="I10" s="158">
        <f>$I$11/$D$11</f>
        <v>0</v>
      </c>
      <c r="J10" s="158"/>
      <c r="K10" s="158">
        <f>$K$11/$D$11</f>
        <v>0.69444444444444442</v>
      </c>
      <c r="L10" s="158"/>
      <c r="M10" s="158">
        <f>$M$11/$D$11</f>
        <v>0.41666666666666669</v>
      </c>
      <c r="N10" s="158"/>
      <c r="P10" s="14">
        <v>0</v>
      </c>
      <c r="Q10" s="14">
        <v>1</v>
      </c>
      <c r="R10" s="2"/>
      <c r="S10" s="2"/>
      <c r="T10" s="10"/>
    </row>
    <row r="11" spans="1:24" ht="13.5" customHeight="1">
      <c r="A11" s="150"/>
      <c r="B11" s="150"/>
      <c r="C11" s="133" t="s">
        <v>42</v>
      </c>
      <c r="D11" s="132">
        <v>36</v>
      </c>
      <c r="E11" s="159" t="s">
        <v>354</v>
      </c>
      <c r="F11" s="159"/>
      <c r="G11" s="159" t="s">
        <v>380</v>
      </c>
      <c r="H11" s="159"/>
      <c r="I11" s="159" t="s">
        <v>354</v>
      </c>
      <c r="J11" s="159"/>
      <c r="K11" s="159" t="s">
        <v>394</v>
      </c>
      <c r="L11" s="159"/>
      <c r="M11" s="159" t="s">
        <v>395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396</v>
      </c>
      <c r="D3" s="168"/>
      <c r="E3" s="168"/>
      <c r="F3" s="168"/>
      <c r="G3" s="168"/>
      <c r="H3" s="168"/>
      <c r="I3" s="168"/>
      <c r="J3" s="168"/>
      <c r="K3" s="168"/>
      <c r="L3" s="168"/>
      <c r="M3" s="168"/>
      <c r="N3" s="168"/>
      <c r="P3" s="4">
        <v>6</v>
      </c>
      <c r="Q3" s="4">
        <v>10</v>
      </c>
      <c r="R3" s="2"/>
      <c r="S3" s="2"/>
    </row>
    <row r="4" spans="1:24" ht="13.5" customHeight="1">
      <c r="A4" s="161" t="s">
        <v>25</v>
      </c>
      <c r="B4" s="161"/>
      <c r="C4" s="162" t="s">
        <v>397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0.3888888888888889</v>
      </c>
      <c r="H10" s="158"/>
      <c r="I10" s="158">
        <f>$I$11/$D$11</f>
        <v>0</v>
      </c>
      <c r="J10" s="158"/>
      <c r="K10" s="158">
        <f>$K$11/$D$11</f>
        <v>1.1111111111111112</v>
      </c>
      <c r="L10" s="158"/>
      <c r="M10" s="158">
        <f>$M$11/$D$11</f>
        <v>0</v>
      </c>
      <c r="N10" s="158"/>
      <c r="P10" s="14">
        <v>0</v>
      </c>
      <c r="Q10" s="14">
        <v>1</v>
      </c>
      <c r="R10" s="2"/>
      <c r="S10" s="2"/>
      <c r="T10" s="10"/>
    </row>
    <row r="11" spans="1:24" ht="13.5" customHeight="1">
      <c r="A11" s="150"/>
      <c r="B11" s="150"/>
      <c r="C11" s="133" t="s">
        <v>42</v>
      </c>
      <c r="D11" s="132">
        <v>36</v>
      </c>
      <c r="E11" s="159" t="s">
        <v>354</v>
      </c>
      <c r="F11" s="159"/>
      <c r="G11" s="159" t="s">
        <v>380</v>
      </c>
      <c r="H11" s="159"/>
      <c r="I11" s="159" t="s">
        <v>354</v>
      </c>
      <c r="J11" s="159"/>
      <c r="K11" s="159" t="s">
        <v>381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398</v>
      </c>
      <c r="D3" s="168"/>
      <c r="E3" s="168"/>
      <c r="F3" s="168"/>
      <c r="G3" s="168"/>
      <c r="H3" s="168"/>
      <c r="I3" s="168"/>
      <c r="J3" s="168"/>
      <c r="K3" s="168"/>
      <c r="L3" s="168"/>
      <c r="M3" s="168"/>
      <c r="N3" s="168"/>
      <c r="P3" s="4">
        <v>6</v>
      </c>
      <c r="Q3" s="4">
        <v>10</v>
      </c>
      <c r="R3" s="2"/>
      <c r="S3" s="2"/>
    </row>
    <row r="4" spans="1:24" ht="13.5" customHeight="1">
      <c r="A4" s="161" t="s">
        <v>25</v>
      </c>
      <c r="B4" s="161"/>
      <c r="C4" s="162" t="s">
        <v>399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0.3888888888888889</v>
      </c>
      <c r="F10" s="158"/>
      <c r="G10" s="158">
        <f>$G$11/$D$11</f>
        <v>0</v>
      </c>
      <c r="H10" s="158"/>
      <c r="I10" s="158">
        <f>$I$11/$D$11</f>
        <v>0</v>
      </c>
      <c r="J10" s="158"/>
      <c r="K10" s="158">
        <f>$K$11/$D$11</f>
        <v>0.44444444444444442</v>
      </c>
      <c r="L10" s="158"/>
      <c r="M10" s="158">
        <f>$M$11/$D$11</f>
        <v>0.66666666666666663</v>
      </c>
      <c r="N10" s="158"/>
      <c r="P10" s="14">
        <v>0</v>
      </c>
      <c r="Q10" s="14">
        <v>1</v>
      </c>
      <c r="R10" s="2"/>
      <c r="S10" s="2"/>
      <c r="T10" s="10"/>
    </row>
    <row r="11" spans="1:24" ht="13.5" customHeight="1">
      <c r="A11" s="150"/>
      <c r="B11" s="150"/>
      <c r="C11" s="133" t="s">
        <v>42</v>
      </c>
      <c r="D11" s="132">
        <v>36</v>
      </c>
      <c r="E11" s="159" t="s">
        <v>380</v>
      </c>
      <c r="F11" s="159"/>
      <c r="G11" s="159" t="s">
        <v>354</v>
      </c>
      <c r="H11" s="159"/>
      <c r="I11" s="159" t="s">
        <v>354</v>
      </c>
      <c r="J11" s="159"/>
      <c r="K11" s="159" t="s">
        <v>366</v>
      </c>
      <c r="L11" s="159"/>
      <c r="M11" s="159" t="s">
        <v>400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401</v>
      </c>
      <c r="D3" s="168"/>
      <c r="E3" s="168"/>
      <c r="F3" s="168"/>
      <c r="G3" s="168"/>
      <c r="H3" s="168"/>
      <c r="I3" s="168"/>
      <c r="J3" s="168"/>
      <c r="K3" s="168"/>
      <c r="L3" s="168"/>
      <c r="M3" s="168"/>
      <c r="N3" s="168"/>
      <c r="P3" s="4">
        <v>6</v>
      </c>
      <c r="Q3" s="4">
        <v>10</v>
      </c>
      <c r="R3" s="2"/>
      <c r="S3" s="2"/>
    </row>
    <row r="4" spans="1:24" ht="13.5" customHeight="1">
      <c r="A4" s="161" t="s">
        <v>25</v>
      </c>
      <c r="B4" s="161"/>
      <c r="C4" s="162" t="s">
        <v>402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356</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403</v>
      </c>
      <c r="D3" s="168"/>
      <c r="E3" s="168"/>
      <c r="F3" s="168"/>
      <c r="G3" s="168"/>
      <c r="H3" s="168"/>
      <c r="I3" s="168"/>
      <c r="J3" s="168"/>
      <c r="K3" s="168"/>
      <c r="L3" s="168"/>
      <c r="M3" s="168"/>
      <c r="N3" s="168"/>
      <c r="P3" s="4">
        <v>6</v>
      </c>
      <c r="Q3" s="4">
        <v>10</v>
      </c>
      <c r="R3" s="2"/>
      <c r="S3" s="2"/>
    </row>
    <row r="4" spans="1:24" ht="13.5" customHeight="1">
      <c r="A4" s="161" t="s">
        <v>25</v>
      </c>
      <c r="B4" s="161"/>
      <c r="C4" s="162" t="s">
        <v>404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0.66666666666666663</v>
      </c>
      <c r="J10" s="158"/>
      <c r="K10" s="158">
        <f>$K$11/$D$11</f>
        <v>0.33333333333333331</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400</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4</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405</v>
      </c>
      <c r="D3" s="168"/>
      <c r="E3" s="168"/>
      <c r="F3" s="168"/>
      <c r="G3" s="168"/>
      <c r="H3" s="168"/>
      <c r="I3" s="168"/>
      <c r="J3" s="168"/>
      <c r="K3" s="168"/>
      <c r="L3" s="168"/>
      <c r="M3" s="168"/>
      <c r="N3" s="168"/>
      <c r="P3" s="4">
        <v>6</v>
      </c>
      <c r="Q3" s="4">
        <v>10</v>
      </c>
      <c r="R3" s="2"/>
      <c r="S3" s="2"/>
    </row>
    <row r="4" spans="1:24" ht="13.5" customHeight="1">
      <c r="A4" s="161" t="s">
        <v>25</v>
      </c>
      <c r="B4" s="161"/>
      <c r="C4" s="162" t="s">
        <v>406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0.66666666666666663</v>
      </c>
      <c r="J10" s="158"/>
      <c r="K10" s="158">
        <f>$K$11/$D$11</f>
        <v>0</v>
      </c>
      <c r="L10" s="158"/>
      <c r="M10" s="158">
        <f>$M$11/$D$11</f>
        <v>0.66666666666666663</v>
      </c>
      <c r="N10" s="158"/>
      <c r="P10" s="14">
        <v>0</v>
      </c>
      <c r="Q10" s="14">
        <v>1</v>
      </c>
      <c r="R10" s="2"/>
      <c r="S10" s="2"/>
      <c r="T10" s="10"/>
    </row>
    <row r="11" spans="1:24" ht="13.5" customHeight="1">
      <c r="A11" s="150"/>
      <c r="B11" s="150"/>
      <c r="C11" s="133" t="s">
        <v>42</v>
      </c>
      <c r="D11" s="132">
        <v>36</v>
      </c>
      <c r="E11" s="159" t="s">
        <v>354</v>
      </c>
      <c r="F11" s="159"/>
      <c r="G11" s="159" t="s">
        <v>354</v>
      </c>
      <c r="H11" s="159"/>
      <c r="I11" s="159" t="s">
        <v>400</v>
      </c>
      <c r="J11" s="159"/>
      <c r="K11" s="159" t="s">
        <v>354</v>
      </c>
      <c r="L11" s="159"/>
      <c r="M11" s="159" t="s">
        <v>400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1</v>
      </c>
      <c r="G26" s="114">
        <v>3</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407</v>
      </c>
      <c r="D3" s="168"/>
      <c r="E3" s="168"/>
      <c r="F3" s="168"/>
      <c r="G3" s="168"/>
      <c r="H3" s="168"/>
      <c r="I3" s="168"/>
      <c r="J3" s="168"/>
      <c r="K3" s="168"/>
      <c r="L3" s="168"/>
      <c r="M3" s="168"/>
      <c r="N3" s="168"/>
      <c r="P3" s="4">
        <v>6</v>
      </c>
      <c r="Q3" s="4">
        <v>10</v>
      </c>
      <c r="R3" s="2"/>
      <c r="S3" s="2"/>
    </row>
    <row r="4" spans="1:24" ht="13.5" customHeight="1">
      <c r="A4" s="161" t="s">
        <v>25</v>
      </c>
      <c r="B4" s="161"/>
      <c r="C4" s="162" t="s">
        <v>408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0.55555555555555558</v>
      </c>
      <c r="J10" s="158"/>
      <c r="K10" s="158">
        <f>$K$11/$D$11</f>
        <v>0</v>
      </c>
      <c r="L10" s="158"/>
      <c r="M10" s="158">
        <f>$M$11/$D$11</f>
        <v>1.2777777777777777</v>
      </c>
      <c r="N10" s="158"/>
      <c r="P10" s="14">
        <v>0</v>
      </c>
      <c r="Q10" s="14">
        <v>1</v>
      </c>
      <c r="R10" s="2"/>
      <c r="S10" s="2"/>
      <c r="T10" s="10"/>
    </row>
    <row r="11" spans="1:24" ht="13.5" customHeight="1">
      <c r="A11" s="150"/>
      <c r="B11" s="150"/>
      <c r="C11" s="133" t="s">
        <v>42</v>
      </c>
      <c r="D11" s="132">
        <v>36</v>
      </c>
      <c r="E11" s="159" t="s">
        <v>354</v>
      </c>
      <c r="F11" s="159"/>
      <c r="G11" s="159" t="s">
        <v>354</v>
      </c>
      <c r="H11" s="159"/>
      <c r="I11" s="159" t="s">
        <v>367</v>
      </c>
      <c r="J11" s="159"/>
      <c r="K11" s="159" t="s">
        <v>354</v>
      </c>
      <c r="L11" s="159"/>
      <c r="M11" s="159" t="s">
        <v>409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5.5</v>
      </c>
      <c r="E26" s="152"/>
      <c r="F26" s="114">
        <v>1</v>
      </c>
      <c r="G26" s="114">
        <v>4.5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410</v>
      </c>
      <c r="D3" s="168"/>
      <c r="E3" s="168"/>
      <c r="F3" s="168"/>
      <c r="G3" s="168"/>
      <c r="H3" s="168"/>
      <c r="I3" s="168"/>
      <c r="J3" s="168"/>
      <c r="K3" s="168"/>
      <c r="L3" s="168"/>
      <c r="M3" s="168"/>
      <c r="N3" s="168"/>
      <c r="P3" s="4">
        <v>6</v>
      </c>
      <c r="Q3" s="4">
        <v>10</v>
      </c>
      <c r="R3" s="2"/>
      <c r="S3" s="2"/>
    </row>
    <row r="4" spans="1:24" ht="13.5" customHeight="1">
      <c r="A4" s="161" t="s">
        <v>25</v>
      </c>
      <c r="B4" s="161"/>
      <c r="C4" s="162" t="s">
        <v>411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v>
      </c>
      <c r="J10" s="158"/>
      <c r="K10" s="158">
        <f>$K$11/$D$11</f>
        <v>0</v>
      </c>
      <c r="L10" s="158"/>
      <c r="M10" s="158">
        <f>$M$11/$D$11</f>
        <v>1.3333333333333333</v>
      </c>
      <c r="N10" s="158"/>
      <c r="P10" s="14">
        <v>0</v>
      </c>
      <c r="Q10" s="14">
        <v>1</v>
      </c>
      <c r="R10" s="2"/>
      <c r="S10" s="2"/>
      <c r="T10" s="10"/>
    </row>
    <row r="11" spans="1:24" ht="13.5" customHeight="1">
      <c r="A11" s="150"/>
      <c r="B11" s="150"/>
      <c r="C11" s="133" t="s">
        <v>42</v>
      </c>
      <c r="D11" s="132">
        <v>36</v>
      </c>
      <c r="E11" s="159" t="s">
        <v>354</v>
      </c>
      <c r="F11" s="159"/>
      <c r="G11" s="159" t="s">
        <v>354</v>
      </c>
      <c r="H11" s="159"/>
      <c r="I11" s="159" t="s">
        <v>377</v>
      </c>
      <c r="J11" s="159"/>
      <c r="K11" s="159" t="s">
        <v>354</v>
      </c>
      <c r="L11" s="159"/>
      <c r="M11" s="159" t="s">
        <v>412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5.5</v>
      </c>
      <c r="E26" s="152"/>
      <c r="F26" s="114">
        <v>1</v>
      </c>
      <c r="G26" s="114">
        <v>4.5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413</v>
      </c>
      <c r="D3" s="168"/>
      <c r="E3" s="168"/>
      <c r="F3" s="168"/>
      <c r="G3" s="168"/>
      <c r="H3" s="168"/>
      <c r="I3" s="168"/>
      <c r="J3" s="168"/>
      <c r="K3" s="168"/>
      <c r="L3" s="168"/>
      <c r="M3" s="168"/>
      <c r="N3" s="168"/>
      <c r="P3" s="4">
        <v>6</v>
      </c>
      <c r="Q3" s="4">
        <v>10</v>
      </c>
      <c r="R3" s="2"/>
      <c r="S3" s="2"/>
    </row>
    <row r="4" spans="1:24" ht="13.5" customHeight="1">
      <c r="A4" s="161" t="s">
        <v>25</v>
      </c>
      <c r="B4" s="161"/>
      <c r="C4" s="162" t="s">
        <v>414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0.27777777777777779</v>
      </c>
      <c r="H10" s="158"/>
      <c r="I10" s="158">
        <f>$I$11/$D$11</f>
        <v>0</v>
      </c>
      <c r="J10" s="158"/>
      <c r="K10" s="158">
        <f>$K$11/$D$11</f>
        <v>0.44444444444444442</v>
      </c>
      <c r="L10" s="158"/>
      <c r="M10" s="158">
        <f>$M$11/$D$11</f>
        <v>0.27777777777777779</v>
      </c>
      <c r="N10" s="158"/>
      <c r="P10" s="14">
        <v>0</v>
      </c>
      <c r="Q10" s="14">
        <v>1</v>
      </c>
      <c r="R10" s="2"/>
      <c r="S10" s="2"/>
      <c r="T10" s="10"/>
    </row>
    <row r="11" spans="1:24" ht="13.5" customHeight="1">
      <c r="A11" s="150"/>
      <c r="B11" s="150"/>
      <c r="C11" s="133" t="s">
        <v>42</v>
      </c>
      <c r="D11" s="132">
        <v>36</v>
      </c>
      <c r="E11" s="159" t="s">
        <v>354</v>
      </c>
      <c r="F11" s="159"/>
      <c r="G11" s="159" t="s">
        <v>362</v>
      </c>
      <c r="H11" s="159"/>
      <c r="I11" s="159" t="s">
        <v>354</v>
      </c>
      <c r="J11" s="159"/>
      <c r="K11" s="159" t="s">
        <v>366</v>
      </c>
      <c r="L11" s="159"/>
      <c r="M11" s="159" t="s">
        <v>362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415</v>
      </c>
      <c r="D3" s="168"/>
      <c r="E3" s="168"/>
      <c r="F3" s="168"/>
      <c r="G3" s="168"/>
      <c r="H3" s="168"/>
      <c r="I3" s="168"/>
      <c r="J3" s="168"/>
      <c r="K3" s="168"/>
      <c r="L3" s="168"/>
      <c r="M3" s="168"/>
      <c r="N3" s="168"/>
      <c r="P3" s="4">
        <v>6</v>
      </c>
      <c r="Q3" s="4">
        <v>10</v>
      </c>
      <c r="R3" s="2"/>
      <c r="S3" s="2"/>
    </row>
    <row r="4" spans="1:24" ht="13.5" customHeight="1">
      <c r="A4" s="161" t="s">
        <v>25</v>
      </c>
      <c r="B4" s="161"/>
      <c r="C4" s="162" t="s">
        <v>416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386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417</v>
      </c>
      <c r="D3" s="168"/>
      <c r="E3" s="168"/>
      <c r="F3" s="168"/>
      <c r="G3" s="168"/>
      <c r="H3" s="168"/>
      <c r="I3" s="168"/>
      <c r="J3" s="168"/>
      <c r="K3" s="168"/>
      <c r="L3" s="168"/>
      <c r="M3" s="168"/>
      <c r="N3" s="168"/>
      <c r="P3" s="4">
        <v>6</v>
      </c>
      <c r="Q3" s="4">
        <v>10</v>
      </c>
      <c r="R3" s="2"/>
      <c r="S3" s="2"/>
    </row>
    <row r="4" spans="1:24" ht="13.5" customHeight="1">
      <c r="A4" s="161" t="s">
        <v>25</v>
      </c>
      <c r="B4" s="161"/>
      <c r="C4" s="162" t="s">
        <v>418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1.3333333333333333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412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1</v>
      </c>
      <c r="G26" s="114">
        <v>3</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419</v>
      </c>
      <c r="D3" s="168"/>
      <c r="E3" s="168"/>
      <c r="F3" s="168"/>
      <c r="G3" s="168"/>
      <c r="H3" s="168"/>
      <c r="I3" s="168"/>
      <c r="J3" s="168"/>
      <c r="K3" s="168"/>
      <c r="L3" s="168"/>
      <c r="M3" s="168"/>
      <c r="N3" s="168"/>
      <c r="P3" s="4">
        <v>6</v>
      </c>
      <c r="Q3" s="4">
        <v>10</v>
      </c>
      <c r="R3" s="2"/>
      <c r="S3" s="2"/>
    </row>
    <row r="4" spans="1:24" ht="13.5" customHeight="1">
      <c r="A4" s="161" t="s">
        <v>25</v>
      </c>
      <c r="B4" s="161"/>
      <c r="C4" s="162" t="s">
        <v>420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0.75</v>
      </c>
      <c r="L10" s="158"/>
      <c r="M10" s="158">
        <f>$M$11/$D$11</f>
        <v>0.75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421</v>
      </c>
      <c r="L11" s="159"/>
      <c r="M11" s="159" t="s">
        <v>421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422</v>
      </c>
      <c r="D3" s="168"/>
      <c r="E3" s="168"/>
      <c r="F3" s="168"/>
      <c r="G3" s="168"/>
      <c r="H3" s="168"/>
      <c r="I3" s="168"/>
      <c r="J3" s="168"/>
      <c r="K3" s="168"/>
      <c r="L3" s="168"/>
      <c r="M3" s="168"/>
      <c r="N3" s="168"/>
      <c r="P3" s="4">
        <v>6</v>
      </c>
      <c r="Q3" s="4">
        <v>10</v>
      </c>
      <c r="R3" s="2"/>
      <c r="S3" s="2"/>
    </row>
    <row r="4" spans="1:24" ht="13.5" customHeight="1">
      <c r="A4" s="161" t="s">
        <v>25</v>
      </c>
      <c r="B4" s="161"/>
      <c r="C4" s="162" t="s">
        <v>423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1.1666666666666667</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391</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424</v>
      </c>
      <c r="D3" s="168"/>
      <c r="E3" s="168"/>
      <c r="F3" s="168"/>
      <c r="G3" s="168"/>
      <c r="H3" s="168"/>
      <c r="I3" s="168"/>
      <c r="J3" s="168"/>
      <c r="K3" s="168"/>
      <c r="L3" s="168"/>
      <c r="M3" s="168"/>
      <c r="N3" s="168"/>
      <c r="P3" s="4">
        <v>6</v>
      </c>
      <c r="Q3" s="4">
        <v>10</v>
      </c>
      <c r="R3" s="2"/>
      <c r="S3" s="2"/>
    </row>
    <row r="4" spans="1:24" ht="13.5" customHeight="1">
      <c r="A4" s="161" t="s">
        <v>25</v>
      </c>
      <c r="B4" s="161"/>
      <c r="C4" s="162" t="s">
        <v>425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0.44444444444444442</v>
      </c>
      <c r="F10" s="158"/>
      <c r="G10" s="158">
        <f>$G$11/$D$11</f>
        <v>0</v>
      </c>
      <c r="H10" s="158"/>
      <c r="I10" s="158">
        <f>$I$11/$D$11</f>
        <v>0</v>
      </c>
      <c r="J10" s="158"/>
      <c r="K10" s="158">
        <f>$K$11/$D$11</f>
        <v>0.3888888888888889</v>
      </c>
      <c r="L10" s="158"/>
      <c r="M10" s="158">
        <f>$M$11/$D$11</f>
        <v>0.66666666666666663</v>
      </c>
      <c r="N10" s="158"/>
      <c r="P10" s="14">
        <v>0</v>
      </c>
      <c r="Q10" s="14">
        <v>1</v>
      </c>
      <c r="R10" s="2"/>
      <c r="S10" s="2"/>
      <c r="T10" s="10"/>
    </row>
    <row r="11" spans="1:24" ht="13.5" customHeight="1">
      <c r="A11" s="150"/>
      <c r="B11" s="150"/>
      <c r="C11" s="133" t="s">
        <v>42</v>
      </c>
      <c r="D11" s="132">
        <v>36</v>
      </c>
      <c r="E11" s="159" t="s">
        <v>366</v>
      </c>
      <c r="F11" s="159"/>
      <c r="G11" s="159" t="s">
        <v>354</v>
      </c>
      <c r="H11" s="159"/>
      <c r="I11" s="159" t="s">
        <v>354</v>
      </c>
      <c r="J11" s="159"/>
      <c r="K11" s="159" t="s">
        <v>380</v>
      </c>
      <c r="L11" s="159"/>
      <c r="M11" s="159" t="s">
        <v>400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426</v>
      </c>
      <c r="D3" s="168"/>
      <c r="E3" s="168"/>
      <c r="F3" s="168"/>
      <c r="G3" s="168"/>
      <c r="H3" s="168"/>
      <c r="I3" s="168"/>
      <c r="J3" s="168"/>
      <c r="K3" s="168"/>
      <c r="L3" s="168"/>
      <c r="M3" s="168"/>
      <c r="N3" s="168"/>
      <c r="P3" s="4">
        <v>6</v>
      </c>
      <c r="Q3" s="4">
        <v>10</v>
      </c>
      <c r="R3" s="2"/>
      <c r="S3" s="2"/>
    </row>
    <row r="4" spans="1:24" ht="13.5" customHeight="1">
      <c r="A4" s="161" t="s">
        <v>25</v>
      </c>
      <c r="B4" s="161"/>
      <c r="C4" s="162" t="s">
        <v>427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0.33333333333333331</v>
      </c>
      <c r="L10" s="158"/>
      <c r="M10" s="158">
        <f>$M$11/$D$11</f>
        <v>0.66666666666666663</v>
      </c>
      <c r="N10" s="158"/>
      <c r="P10" s="14">
        <v>0</v>
      </c>
      <c r="Q10" s="14">
        <v>1</v>
      </c>
      <c r="R10" s="2"/>
      <c r="S10" s="2"/>
      <c r="T10" s="10"/>
    </row>
    <row r="11" spans="1:24" ht="13.5" customHeight="1">
      <c r="A11" s="150"/>
      <c r="B11" s="150"/>
      <c r="C11" s="133" t="s">
        <v>42</v>
      </c>
      <c r="D11" s="132">
        <v>36</v>
      </c>
      <c r="E11" s="159" t="s">
        <v>355</v>
      </c>
      <c r="F11" s="159"/>
      <c r="G11" s="159" t="s">
        <v>354</v>
      </c>
      <c r="H11" s="159"/>
      <c r="I11" s="159" t="s">
        <v>354</v>
      </c>
      <c r="J11" s="159"/>
      <c r="K11" s="159" t="s">
        <v>355</v>
      </c>
      <c r="L11" s="159"/>
      <c r="M11" s="159" t="s">
        <v>400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428</v>
      </c>
      <c r="D3" s="168"/>
      <c r="E3" s="168"/>
      <c r="F3" s="168"/>
      <c r="G3" s="168"/>
      <c r="H3" s="168"/>
      <c r="I3" s="168"/>
      <c r="J3" s="168"/>
      <c r="K3" s="168"/>
      <c r="L3" s="168"/>
      <c r="M3" s="168"/>
      <c r="N3" s="168"/>
      <c r="P3" s="4">
        <v>6</v>
      </c>
      <c r="Q3" s="4">
        <v>10</v>
      </c>
      <c r="R3" s="2"/>
      <c r="S3" s="2"/>
    </row>
    <row r="4" spans="1:24" ht="13.5" customHeight="1">
      <c r="A4" s="161" t="s">
        <v>25</v>
      </c>
      <c r="B4" s="161"/>
      <c r="C4" s="162" t="s">
        <v>429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v>
      </c>
      <c r="J10" s="158"/>
      <c r="K10" s="158">
        <f>$K$11/$D$11</f>
        <v>0</v>
      </c>
      <c r="L10" s="158"/>
      <c r="M10" s="158">
        <f>$M$11/$D$11</f>
        <v>1.3333333333333333</v>
      </c>
      <c r="N10" s="158"/>
      <c r="P10" s="14">
        <v>0</v>
      </c>
      <c r="Q10" s="14">
        <v>1</v>
      </c>
      <c r="R10" s="2"/>
      <c r="S10" s="2"/>
      <c r="T10" s="10"/>
    </row>
    <row r="11" spans="1:24" ht="13.5" customHeight="1">
      <c r="A11" s="150"/>
      <c r="B11" s="150"/>
      <c r="C11" s="133" t="s">
        <v>42</v>
      </c>
      <c r="D11" s="132">
        <v>36</v>
      </c>
      <c r="E11" s="159" t="s">
        <v>354</v>
      </c>
      <c r="F11" s="159"/>
      <c r="G11" s="159" t="s">
        <v>354</v>
      </c>
      <c r="H11" s="159"/>
      <c r="I11" s="159" t="s">
        <v>377</v>
      </c>
      <c r="J11" s="159"/>
      <c r="K11" s="159" t="s">
        <v>354</v>
      </c>
      <c r="L11" s="159"/>
      <c r="M11" s="159" t="s">
        <v>412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5.5</v>
      </c>
      <c r="E26" s="152"/>
      <c r="F26" s="114">
        <v>1</v>
      </c>
      <c r="G26" s="114">
        <v>4.5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430</v>
      </c>
      <c r="D3" s="168"/>
      <c r="E3" s="168"/>
      <c r="F3" s="168"/>
      <c r="G3" s="168"/>
      <c r="H3" s="168"/>
      <c r="I3" s="168"/>
      <c r="J3" s="168"/>
      <c r="K3" s="168"/>
      <c r="L3" s="168"/>
      <c r="M3" s="168"/>
      <c r="N3" s="168"/>
      <c r="P3" s="4">
        <v>6</v>
      </c>
      <c r="Q3" s="4">
        <v>10</v>
      </c>
      <c r="R3" s="2"/>
      <c r="S3" s="2"/>
    </row>
    <row r="4" spans="1:24" ht="13.5" customHeight="1">
      <c r="A4" s="161" t="s">
        <v>25</v>
      </c>
      <c r="B4" s="161"/>
      <c r="C4" s="162" t="s">
        <v>431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400</v>
      </c>
      <c r="L11" s="159"/>
      <c r="M11" s="159" t="s">
        <v>377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432</v>
      </c>
      <c r="E26" s="152"/>
      <c r="F26" s="114" t="s">
        <v>432</v>
      </c>
      <c r="G26" s="114" t="s">
        <v>432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48</vt:i4>
      </vt:variant>
    </vt:vector>
  </HeadingPairs>
  <TitlesOfParts>
    <vt:vector size="91" baseType="lpstr">
      <vt:lpstr>CS_ELECT</vt:lpstr>
      <vt:lpstr>HSS_ELECT</vt:lpstr>
      <vt:lpstr>LANG_ELECT</vt:lpstr>
      <vt:lpstr>NSCI_ELECT</vt:lpstr>
      <vt:lpstr>TECH_ELECT</vt:lpstr>
      <vt:lpstr>RES_ELECT</vt:lpstr>
      <vt:lpstr>MINE201</vt:lpstr>
      <vt:lpstr>MINE202</vt:lpstr>
      <vt:lpstr>MINE204</vt:lpstr>
      <vt:lpstr>MINE244</vt:lpstr>
      <vt:lpstr>MINE267</vt:lpstr>
      <vt:lpstr>MINE268</vt:lpstr>
      <vt:lpstr>MINE307</vt:lpstr>
      <vt:lpstr>MINE321</vt:lpstr>
      <vt:lpstr>MINE324</vt:lpstr>
      <vt:lpstr>MINE325</vt:lpstr>
      <vt:lpstr>MINE326</vt:lpstr>
      <vt:lpstr>MINE330</vt:lpstr>
      <vt:lpstr>MINE331</vt:lpstr>
      <vt:lpstr>MINE339</vt:lpstr>
      <vt:lpstr>MINE341</vt:lpstr>
      <vt:lpstr>MINE459</vt:lpstr>
      <vt:lpstr>MINE422</vt:lpstr>
      <vt:lpstr>MINE434</vt:lpstr>
      <vt:lpstr>MINE445</vt:lpstr>
      <vt:lpstr>MINE448</vt:lpstr>
      <vt:lpstr>MINE451</vt:lpstr>
      <vt:lpstr>MINE455</vt:lpstr>
      <vt:lpstr>MINE458</vt:lpstr>
      <vt:lpstr>MINE460</vt:lpstr>
      <vt:lpstr>MINE462</vt:lpstr>
      <vt:lpstr>MINE467</vt:lpstr>
      <vt:lpstr>MINE469</vt:lpstr>
      <vt:lpstr>MINE471</vt:lpstr>
      <vt:lpstr>MINE472</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CS_ELECT!Print_Area</vt:lpstr>
      <vt:lpstr>FIC!Print_Area</vt:lpstr>
      <vt:lpstr>HSS_ELECT!Print_Area</vt:lpstr>
      <vt:lpstr>LANG_ELECT!Print_Area</vt:lpstr>
      <vt:lpstr>MINE201!Print_Area</vt:lpstr>
      <vt:lpstr>MINE202!Print_Area</vt:lpstr>
      <vt:lpstr>MINE204!Print_Area</vt:lpstr>
      <vt:lpstr>MINE244!Print_Area</vt:lpstr>
      <vt:lpstr>MINE267!Print_Area</vt:lpstr>
      <vt:lpstr>MINE268!Print_Area</vt:lpstr>
      <vt:lpstr>MINE307!Print_Area</vt:lpstr>
      <vt:lpstr>MINE321!Print_Area</vt:lpstr>
      <vt:lpstr>MINE324!Print_Area</vt:lpstr>
      <vt:lpstr>MINE325!Print_Area</vt:lpstr>
      <vt:lpstr>MINE326!Print_Area</vt:lpstr>
      <vt:lpstr>MINE330!Print_Area</vt:lpstr>
      <vt:lpstr>MINE331!Print_Area</vt:lpstr>
      <vt:lpstr>MINE339!Print_Area</vt:lpstr>
      <vt:lpstr>MINE341!Print_Area</vt:lpstr>
      <vt:lpstr>MINE422!Print_Area</vt:lpstr>
      <vt:lpstr>MINE434!Print_Area</vt:lpstr>
      <vt:lpstr>MINE445!Print_Area</vt:lpstr>
      <vt:lpstr>MINE448!Print_Area</vt:lpstr>
      <vt:lpstr>MINE451!Print_Area</vt:lpstr>
      <vt:lpstr>MINE455!Print_Area</vt:lpstr>
      <vt:lpstr>MINE458!Print_Area</vt:lpstr>
      <vt:lpstr>MINE459!Print_Area</vt:lpstr>
      <vt:lpstr>MINE460!Print_Area</vt:lpstr>
      <vt:lpstr>MINE462!Print_Area</vt:lpstr>
      <vt:lpstr>MINE467!Print_Area</vt:lpstr>
      <vt:lpstr>MINE469!Print_Area</vt:lpstr>
      <vt:lpstr>MINE471!Print_Area</vt:lpstr>
      <vt:lpstr>MINE472!Print_Area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2015-08-23T19:11:24Z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