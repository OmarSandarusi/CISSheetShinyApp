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34" activeTab="41"/>
  </bookViews>
  <sheets>
    <sheet name="CS_ELECT" sheetId="20" r:id="rId1"/>
    <sheet name="HSS_ELECT" sheetId="21" r:id="rId2"/>
    <sheet name="LANG_ELECT" sheetId="22" r:id="rId3"/>
    <sheet name="NSCI_ELECT" sheetId="25" r:id="rId4"/>
    <sheet name="TECH_ELECT" sheetId="29" r:id="rId5"/>
    <sheet name="RES_ELECT" sheetId="28" r:id="rId6"/>
    <sheet name="ELEC210" sheetId="51" r:id="rId7"/>
    <sheet name="ELEC221" sheetId="52" r:id="rId8"/>
    <sheet name="ELEC252" sheetId="53" r:id="rId9"/>
    <sheet name="ELEC270" sheetId="54" r:id="rId10"/>
    <sheet name="ELEC271" sheetId="55" r:id="rId11"/>
    <sheet name="ELEC273" sheetId="56" r:id="rId12"/>
    <sheet name="ELEC274" sheetId="57" r:id="rId13"/>
    <sheet name="ELEC278" sheetId="58" r:id="rId14"/>
    <sheet name="ELEC280" sheetId="59" r:id="rId15"/>
    <sheet name="ELEC299" sheetId="60" r:id="rId16"/>
    <sheet name="ELEC310" sheetId="61" r:id="rId17"/>
    <sheet name="ELEC323" sheetId="62" r:id="rId18"/>
    <sheet name="ELEC324" sheetId="63" r:id="rId19"/>
    <sheet name="ELEC326" sheetId="64" r:id="rId20"/>
    <sheet name="ELEC333" sheetId="65" r:id="rId21"/>
    <sheet name="ELEC344" sheetId="66" r:id="rId22"/>
    <sheet name="ELEC353" sheetId="67" r:id="rId23"/>
    <sheet name="ELEC371" sheetId="68" r:id="rId24"/>
    <sheet name="ELEC374" sheetId="69" r:id="rId25"/>
    <sheet name="ELEC377" sheetId="70" r:id="rId26"/>
    <sheet name="ELEC381" sheetId="71" r:id="rId27"/>
    <sheet name="ELEC390" sheetId="72" r:id="rId28"/>
    <sheet name="ELEC408" sheetId="73" r:id="rId29"/>
    <sheet name="ELEC421" sheetId="74" r:id="rId30"/>
    <sheet name="ELEC433" sheetId="75" r:id="rId31"/>
    <sheet name="ELEC444" sheetId="76" r:id="rId32"/>
    <sheet name="ELEC454" sheetId="77" r:id="rId33"/>
    <sheet name="ELEC461" sheetId="78" r:id="rId34"/>
    <sheet name="ELEC464" sheetId="79" r:id="rId35"/>
    <sheet name="ELEC471" sheetId="80" r:id="rId36"/>
    <sheet name="ELEC474" sheetId="81" r:id="rId37"/>
    <sheet name="ELEC490" sheetId="82" r:id="rId38"/>
    <sheet name="ELEC491" sheetId="83" r:id="rId39"/>
    <sheet name="ELEC492" sheetId="84" r:id="rId40"/>
    <sheet name="ELEC497" sheetId="85" r:id="rId41"/>
    <sheet name="ELEC498" sheetId="86" r:id="rId42"/>
    <sheet name="CIS" sheetId="8" r:id="rId43"/>
    <sheet name="FIC" sheetId="47" r:id="rId44"/>
    <sheet name="3.1.1" sheetId="18" r:id="rId45"/>
    <sheet name="3.1.1a" sheetId="48" r:id="rId46"/>
    <sheet name="3.1.1b" sheetId="49" r:id="rId47"/>
    <sheet name="3.1.1c" sheetId="50" r:id="rId48"/>
    <sheet name="3.1.2" sheetId="38" r:id="rId49"/>
    <sheet name="LU" sheetId="30" r:id="rId50"/>
  </sheets>
  <functionGroups builtInGroupCount="18"/>
  <externalReferences>
    <externalReference r:id="rId51"/>
  </externalReferences>
  <definedNames>
    <definedName name="CLevelRef1" localSheetId="47">'3.1.1c'!$A$4:$A$103</definedName>
    <definedName name="CLevelRef1">'3.1.1b'!$A$4:$A$103</definedName>
    <definedName name="CLevelRef2" localSheetId="45">#REF!</definedName>
    <definedName name="CLevelRef2" localSheetId="47">'3.1.1c'!$A$4:$A$103</definedName>
    <definedName name="CLevelRef2" localSheetId="6">#REF!</definedName>
    <definedName name="CLevelRef2" localSheetId="7">#REF!</definedName>
    <definedName name="CLevelRef2" localSheetId="8">#REF!</definedName>
    <definedName name="CLevelRef2" localSheetId="9">#REF!</definedName>
    <definedName name="CLevelRef2" localSheetId="10">#REF!</definedName>
    <definedName name="CLevelRef2" localSheetId="11">#REF!</definedName>
    <definedName name="CLevelRef2" localSheetId="12">#REF!</definedName>
    <definedName name="CLevelRef2" localSheetId="13">#REF!</definedName>
    <definedName name="CLevelRef2" localSheetId="14">#REF!</definedName>
    <definedName name="CLevelRef2" localSheetId="15">#REF!</definedName>
    <definedName name="CLevelRef2" localSheetId="16">#REF!</definedName>
    <definedName name="CLevelRef2" localSheetId="17">#REF!</definedName>
    <definedName name="CLevelRef2" localSheetId="18">#REF!</definedName>
    <definedName name="CLevelRef2" localSheetId="19">#REF!</definedName>
    <definedName name="CLevelRef2" localSheetId="20">#REF!</definedName>
    <definedName name="CLevelRef2" localSheetId="21">#REF!</definedName>
    <definedName name="CLevelRef2" localSheetId="22">#REF!</definedName>
    <definedName name="CLevelRef2" localSheetId="23">#REF!</definedName>
    <definedName name="CLevelRef2" localSheetId="24">#REF!</definedName>
    <definedName name="CLevelRef2" localSheetId="25">#REF!</definedName>
    <definedName name="CLevelRef2" localSheetId="26">#REF!</definedName>
    <definedName name="CLevelRef2" localSheetId="27">#REF!</definedName>
    <definedName name="CLevelRef2" localSheetId="28">#REF!</definedName>
    <definedName name="CLevelRef2" localSheetId="29">#REF!</definedName>
    <definedName name="CLevelRef2" localSheetId="30">#REF!</definedName>
    <definedName name="CLevelRef2" localSheetId="31">#REF!</definedName>
    <definedName name="CLevelRef2" localSheetId="32">#REF!</definedName>
    <definedName name="CLevelRef2" localSheetId="33">#REF!</definedName>
    <definedName name="CLevelRef2" localSheetId="34">#REF!</definedName>
    <definedName name="CLevelRef2" localSheetId="35">#REF!</definedName>
    <definedName name="CLevelRef2" localSheetId="36">#REF!</definedName>
    <definedName name="CLevelRef2" localSheetId="37">#REF!</definedName>
    <definedName name="CLevelRef2" localSheetId="38">#REF!</definedName>
    <definedName name="CLevelRef2" localSheetId="39">#REF!</definedName>
    <definedName name="CLevelRef2" localSheetId="40">#REF!</definedName>
    <definedName name="CLevelRef2" localSheetId="41">#REF!</definedName>
    <definedName name="CLevelRef2">#REF!</definedName>
    <definedName name="CLkUpRef">LU!$A$2:$C$97</definedName>
    <definedName name="CMapRef1" localSheetId="45">'3.1.1a'!$C$5:$J$107</definedName>
    <definedName name="CMapRef1">'3.1.1'!$C$5:$J$107</definedName>
    <definedName name="CMapRef2" localSheetId="45">'3.1.1a'!$C$5:$J$104</definedName>
    <definedName name="CMapRef2" localSheetId="47">#REF!</definedName>
    <definedName name="CMapRef2" localSheetId="6">#REF!</definedName>
    <definedName name="CMapRef2" localSheetId="7">#REF!</definedName>
    <definedName name="CMapRef2" localSheetId="8">#REF!</definedName>
    <definedName name="CMapRef2" localSheetId="9">#REF!</definedName>
    <definedName name="CMapRef2" localSheetId="10">#REF!</definedName>
    <definedName name="CMapRef2" localSheetId="11">#REF!</definedName>
    <definedName name="CMapRef2" localSheetId="12">#REF!</definedName>
    <definedName name="CMapRef2" localSheetId="13">#REF!</definedName>
    <definedName name="CMapRef2" localSheetId="14">#REF!</definedName>
    <definedName name="CMapRef2" localSheetId="15">#REF!</definedName>
    <definedName name="CMapRef2" localSheetId="16">#REF!</definedName>
    <definedName name="CMapRef2" localSheetId="17">#REF!</definedName>
    <definedName name="CMapRef2" localSheetId="18">#REF!</definedName>
    <definedName name="CMapRef2" localSheetId="19">#REF!</definedName>
    <definedName name="CMapRef2" localSheetId="20">#REF!</definedName>
    <definedName name="CMapRef2" localSheetId="21">#REF!</definedName>
    <definedName name="CMapRef2" localSheetId="22">#REF!</definedName>
    <definedName name="CMapRef2" localSheetId="23">#REF!</definedName>
    <definedName name="CMapRef2" localSheetId="24">#REF!</definedName>
    <definedName name="CMapRef2" localSheetId="25">#REF!</definedName>
    <definedName name="CMapRef2" localSheetId="26">#REF!</definedName>
    <definedName name="CMapRef2" localSheetId="27">#REF!</definedName>
    <definedName name="CMapRef2" localSheetId="28">#REF!</definedName>
    <definedName name="CMapRef2" localSheetId="29">#REF!</definedName>
    <definedName name="CMapRef2" localSheetId="30">#REF!</definedName>
    <definedName name="CMapRef2" localSheetId="31">#REF!</definedName>
    <definedName name="CMapRef2" localSheetId="32">#REF!</definedName>
    <definedName name="CMapRef2" localSheetId="33">#REF!</definedName>
    <definedName name="CMapRef2" localSheetId="34">#REF!</definedName>
    <definedName name="CMapRef2" localSheetId="35">#REF!</definedName>
    <definedName name="CMapRef2" localSheetId="36">#REF!</definedName>
    <definedName name="CMapRef2" localSheetId="37">#REF!</definedName>
    <definedName name="CMapRef2" localSheetId="38">#REF!</definedName>
    <definedName name="CMapRef2" localSheetId="39">#REF!</definedName>
    <definedName name="CMapRef2" localSheetId="40">#REF!</definedName>
    <definedName name="CMapRef2" localSheetId="41">#REF!</definedName>
    <definedName name="CMapRef2">#REF!</definedName>
    <definedName name="CNameRef" localSheetId="43">[1]LU!$A$2:$A$101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44">'3.1.1'!$A$1:$J$67</definedName>
    <definedName name="_xlnm.Print_Area" localSheetId="45">'3.1.1a'!$A$1:$J$67</definedName>
    <definedName name="_xlnm.Print_Area" localSheetId="48">'3.1.2'!$A$1:$E$80</definedName>
    <definedName name="_xlnm.Print_Area" localSheetId="42">CIS!$A$1:$N$57</definedName>
    <definedName name="_xlnm.Print_Area" localSheetId="0">CS_ELECT!$A$1:$N$58</definedName>
    <definedName name="_xlnm.Print_Area" localSheetId="6">ELEC210!$A$1:$N$57</definedName>
    <definedName name="_xlnm.Print_Area" localSheetId="7">ELEC221!$A$1:$N$57</definedName>
    <definedName name="_xlnm.Print_Area" localSheetId="8">ELEC252!$A$1:$N$57</definedName>
    <definedName name="_xlnm.Print_Area" localSheetId="9">ELEC270!$A$1:$N$57</definedName>
    <definedName name="_xlnm.Print_Area" localSheetId="10">ELEC271!$A$1:$N$57</definedName>
    <definedName name="_xlnm.Print_Area" localSheetId="11">ELEC273!$A$1:$N$57</definedName>
    <definedName name="_xlnm.Print_Area" localSheetId="12">ELEC274!$A$1:$N$57</definedName>
    <definedName name="_xlnm.Print_Area" localSheetId="13">ELEC278!$A$1:$N$57</definedName>
    <definedName name="_xlnm.Print_Area" localSheetId="14">ELEC280!$A$1:$N$57</definedName>
    <definedName name="_xlnm.Print_Area" localSheetId="15">ELEC299!$A$1:$N$57</definedName>
    <definedName name="_xlnm.Print_Area" localSheetId="16">ELEC310!$A$1:$N$57</definedName>
    <definedName name="_xlnm.Print_Area" localSheetId="17">ELEC323!$A$1:$N$57</definedName>
    <definedName name="_xlnm.Print_Area" localSheetId="18">ELEC324!$A$1:$N$57</definedName>
    <definedName name="_xlnm.Print_Area" localSheetId="19">ELEC326!$A$1:$N$57</definedName>
    <definedName name="_xlnm.Print_Area" localSheetId="20">ELEC333!$A$1:$N$57</definedName>
    <definedName name="_xlnm.Print_Area" localSheetId="21">ELEC344!$A$1:$N$57</definedName>
    <definedName name="_xlnm.Print_Area" localSheetId="22">ELEC353!$A$1:$N$57</definedName>
    <definedName name="_xlnm.Print_Area" localSheetId="23">ELEC371!$A$1:$N$57</definedName>
    <definedName name="_xlnm.Print_Area" localSheetId="24">ELEC374!$A$1:$N$57</definedName>
    <definedName name="_xlnm.Print_Area" localSheetId="25">ELEC377!$A$1:$N$57</definedName>
    <definedName name="_xlnm.Print_Area" localSheetId="26">ELEC381!$A$1:$N$57</definedName>
    <definedName name="_xlnm.Print_Area" localSheetId="27">ELEC390!$A$1:$N$57</definedName>
    <definedName name="_xlnm.Print_Area" localSheetId="28">ELEC408!$A$1:$N$57</definedName>
    <definedName name="_xlnm.Print_Area" localSheetId="29">ELEC421!$A$1:$N$57</definedName>
    <definedName name="_xlnm.Print_Area" localSheetId="30">ELEC433!$A$1:$N$57</definedName>
    <definedName name="_xlnm.Print_Area" localSheetId="31">ELEC444!$A$1:$N$57</definedName>
    <definedName name="_xlnm.Print_Area" localSheetId="32">ELEC454!$A$1:$N$57</definedName>
    <definedName name="_xlnm.Print_Area" localSheetId="33">ELEC461!$A$1:$N$57</definedName>
    <definedName name="_xlnm.Print_Area" localSheetId="34">ELEC464!$A$1:$N$57</definedName>
    <definedName name="_xlnm.Print_Area" localSheetId="35">ELEC471!$A$1:$N$57</definedName>
    <definedName name="_xlnm.Print_Area" localSheetId="36">ELEC474!$A$1:$N$57</definedName>
    <definedName name="_xlnm.Print_Area" localSheetId="37">ELEC490!$A$1:$N$57</definedName>
    <definedName name="_xlnm.Print_Area" localSheetId="38">ELEC491!$A$1:$N$57</definedName>
    <definedName name="_xlnm.Print_Area" localSheetId="39">ELEC492!$A$1:$N$57</definedName>
    <definedName name="_xlnm.Print_Area" localSheetId="40">ELEC497!$A$1:$N$57</definedName>
    <definedName name="_xlnm.Print_Area" localSheetId="41">ELEC498!$A$1:$N$57</definedName>
    <definedName name="_xlnm.Print_Area" localSheetId="43">FIC!$A$1:$N$57</definedName>
    <definedName name="_xlnm.Print_Area" localSheetId="1">HSS_ELECT!$A$1:$N$58</definedName>
    <definedName name="_xlnm.Print_Area" localSheetId="2">LANG_ELECT!$A$1:$N$58</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86" l="1"/>
  <c r="K10" i="86"/>
  <c r="I10" i="86"/>
  <c r="G10" i="86"/>
  <c r="E10" i="86"/>
  <c r="M10" i="85"/>
  <c r="K10" i="85"/>
  <c r="I10" i="85"/>
  <c r="G10" i="85"/>
  <c r="E10" i="85"/>
  <c r="M10" i="84"/>
  <c r="K10" i="84"/>
  <c r="I10" i="84"/>
  <c r="G10" i="84"/>
  <c r="E10" i="84"/>
  <c r="M10" i="83"/>
  <c r="K10" i="83"/>
  <c r="I10" i="83"/>
  <c r="G10" i="83"/>
  <c r="E10" i="83"/>
  <c r="M10" i="82"/>
  <c r="K10" i="82"/>
  <c r="I10" i="82"/>
  <c r="G10" i="82"/>
  <c r="E10" i="82"/>
  <c r="M10" i="81"/>
  <c r="K10" i="81"/>
  <c r="I10" i="81"/>
  <c r="G10" i="81"/>
  <c r="E10" i="81"/>
  <c r="M10" i="80"/>
  <c r="K10" i="80"/>
  <c r="I10" i="80"/>
  <c r="G10" i="80"/>
  <c r="E10" i="80"/>
  <c r="M10" i="79"/>
  <c r="K10" i="79"/>
  <c r="I10" i="79"/>
  <c r="G10" i="79"/>
  <c r="E10" i="79"/>
  <c r="M10" i="78"/>
  <c r="K10" i="78"/>
  <c r="I10" i="78"/>
  <c r="G10" i="78"/>
  <c r="E10" i="78"/>
  <c r="M10" i="77"/>
  <c r="K10" i="77"/>
  <c r="I10" i="77"/>
  <c r="G10" i="77"/>
  <c r="E10" i="77"/>
  <c r="M10" i="76"/>
  <c r="K10" i="76"/>
  <c r="I10" i="76"/>
  <c r="G10" i="76"/>
  <c r="E10" i="76"/>
  <c r="M10" i="75"/>
  <c r="K10" i="75"/>
  <c r="I10" i="75"/>
  <c r="G10" i="75"/>
  <c r="E10" i="75"/>
  <c r="M10" i="74"/>
  <c r="K10" i="74"/>
  <c r="I10" i="74"/>
  <c r="G10" i="74"/>
  <c r="E10" i="74"/>
  <c r="M10" i="73"/>
  <c r="K10" i="73"/>
  <c r="I10" i="73"/>
  <c r="G10" i="73"/>
  <c r="E10" i="73"/>
  <c r="M10" i="72"/>
  <c r="K10" i="72"/>
  <c r="I10" i="72"/>
  <c r="G10" i="72"/>
  <c r="E10" i="72"/>
  <c r="M10" i="71"/>
  <c r="K10" i="71"/>
  <c r="I10" i="71"/>
  <c r="G10" i="71"/>
  <c r="E10" i="71"/>
  <c r="M10" i="70"/>
  <c r="K10" i="70"/>
  <c r="I10" i="70"/>
  <c r="G10" i="70"/>
  <c r="E10" i="70"/>
  <c r="M10" i="69"/>
  <c r="K10" i="69"/>
  <c r="I10" i="69"/>
  <c r="G10" i="69"/>
  <c r="E10" i="69"/>
  <c r="M10" i="68"/>
  <c r="K10" i="68"/>
  <c r="I10" i="68"/>
  <c r="G10" i="68"/>
  <c r="E10" i="68"/>
  <c r="M10" i="67"/>
  <c r="K10" i="67"/>
  <c r="I10" i="67"/>
  <c r="G10" i="67"/>
  <c r="E10" i="67"/>
  <c r="M10" i="66"/>
  <c r="K10" i="66"/>
  <c r="I10" i="66"/>
  <c r="G10" i="66"/>
  <c r="E10" i="66"/>
  <c r="M10" i="65"/>
  <c r="K10" i="65"/>
  <c r="I10" i="65"/>
  <c r="G10" i="65"/>
  <c r="E10" i="65"/>
  <c r="M10" i="64"/>
  <c r="K10" i="64"/>
  <c r="I10" i="64"/>
  <c r="G10" i="64"/>
  <c r="E10" i="64"/>
  <c r="M10" i="63"/>
  <c r="K10" i="63"/>
  <c r="I10" i="63"/>
  <c r="G10" i="63"/>
  <c r="E10" i="63"/>
  <c r="M10" i="62"/>
  <c r="K10" i="62"/>
  <c r="I10" i="62"/>
  <c r="G10" i="62"/>
  <c r="E10" i="62"/>
  <c r="M10" i="61"/>
  <c r="K10" i="61"/>
  <c r="I10" i="61"/>
  <c r="G10" i="61"/>
  <c r="E10" i="61"/>
  <c r="M10" i="60"/>
  <c r="K10" i="60"/>
  <c r="I10" i="60"/>
  <c r="G10" i="60"/>
  <c r="E10" i="60"/>
  <c r="M10" i="59"/>
  <c r="K10" i="59"/>
  <c r="I10" i="59"/>
  <c r="G10" i="59"/>
  <c r="E10" i="59"/>
  <c r="M10" i="58"/>
  <c r="K10" i="58"/>
  <c r="I10" i="58"/>
  <c r="G10" i="58"/>
  <c r="E10" i="58"/>
  <c r="M10" i="57"/>
  <c r="K10" i="57"/>
  <c r="I10" i="57"/>
  <c r="G10" i="57"/>
  <c r="E10" i="57"/>
  <c r="M10" i="56"/>
  <c r="K10" i="56"/>
  <c r="I10" i="56"/>
  <c r="G10" i="56"/>
  <c r="E10" i="56"/>
  <c r="M10" i="55"/>
  <c r="K10" i="55"/>
  <c r="I10" i="55"/>
  <c r="G10" i="55"/>
  <c r="E10" i="55"/>
  <c r="M10" i="54"/>
  <c r="K10" i="54"/>
  <c r="I10" i="54"/>
  <c r="G10" i="54"/>
  <c r="E10" i="54"/>
  <c r="M10" i="53"/>
  <c r="K10" i="53"/>
  <c r="I10" i="53"/>
  <c r="G10" i="53"/>
  <c r="E10" i="53"/>
  <c r="M10" i="52"/>
  <c r="K10" i="52"/>
  <c r="I10" i="52"/>
  <c r="G10" i="52"/>
  <c r="E10" i="52"/>
  <c r="M10" i="51"/>
  <c r="K10" i="51"/>
  <c r="I10" i="51"/>
  <c r="G10" i="51"/>
  <c r="E10" i="51"/>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<sst xmlns="http://schemas.openxmlformats.org/spreadsheetml/2006/main" count="6302" uniqueCount="453">
  <si>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</si>
  <si>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</si>
  <si>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</si>
  <si>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</si>
  <si>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</si>
  <si>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</si>
  <si>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</si>
  <si>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</si>
  <si>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</si>
  <si>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</si>
  <si>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</si>
  <si>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</si>
  <si>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</si>
  <si>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</si>
  <si>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</si>
  <si>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</si>
  <si>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</si>
  <si>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</si>
  <si>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</si>
  <si>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</si>
  <si>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</si>
  <si>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</si>
  <si>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</si>
  <si>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</si>
  <si>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</si>
  <si>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</si>
  <si>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</si>
  <si>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</si>
  <si>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</si>
  <si>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</si>
  <si>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</si>
  <si>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</si>
  <si>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</si>
  <si>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</si>
  <si>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</si>
  <si>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</si>
  <si>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</si>
  <si>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</si>
  <si>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</si>
  <si>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</si>
  <si>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</si>
  <si>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</si>
  <si>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</si>
  <si>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</si>
  <si>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</si>
  <si>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</si>
  <si>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</si>
  <si>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</si>
  <si>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</si>
  <si>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</si>
  <si>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</si>
  <si>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</si>
  <si>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</si>
  <si>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</si>
  <si>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</si>
  <si>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</si>
  <si>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</si>
  <si>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</si>
  <si>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</si>
  <si>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</si>
  <si>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</si>
  <si>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</si>
  <si>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</si>
  <si>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</si>
  <si>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</si>
  <si>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</si>
  <si>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</si>
  <si>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</si>
  <si>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</si>
  <si>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</si>
  <si>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</si>
  <si>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</si>
  <si>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</si>
  <si>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</si>
  <si>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</si>
  <si>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</si>
  <si>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</si>
  <si>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</si>
  <si>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</si>
  <si>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</si>
  <si>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</si>
  <si>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</si>
  <si>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</si>
  <si>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</si>
  <si>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</si>
  <si>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</si>
  <si>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</si>
  <si>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</si>
  <si>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</si>
  <si>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</si>
  <si>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</si>
  <si>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</si>
  <si>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</si>
  <si>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</si>
  <si>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</si>
  <si>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</si>
  <si>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</si>
  <si>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</si>
  <si>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</si>
  <si>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</si>
  <si>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</si>
  <si>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</si>
  <si>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</si>
  <si>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</si>
  <si>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</si>
  <si>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</si>
  <si>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</si>
  <si>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</si>
  <si>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</si>
  <si>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</si>
  <si>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</si>
  <si>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</si>
  <si>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</si>
  <si>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</si>
  <si>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</si>
  <si>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</si>
  <si>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</si>
  <si>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</si>
  <si>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</si>
  <si>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</si>
  <si>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</si>
  <si>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</si>
  <si>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</si>
  <si>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</si>
  <si>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</si>
  <si>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</si>
  <si>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</si>
  <si>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</si>
  <si>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</si>
  <si>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</si>
  <si>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</si>
  <si>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</si>
  <si>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</si>
  <si>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</si>
  <si>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</si>
  <si>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</si>
  <si>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</si>
  <si>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</si>
  <si>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</si>
  <si>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</si>
  <si>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</si>
  <si>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</si>
  <si>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</si>
  <si>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</si>
  <si>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</si>
  <si>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</si>
  <si>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</si>
  <si>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</si>
  <si>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</si>
  <si>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</si>
  <si>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</si>
  <si>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</si>
  <si>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</si>
  <si>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</si>
  <si>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</si>
  <si>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</si>
  <si>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</si>
  <si>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</si>
  <si>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</si>
  <si>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</si>
  <si>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</si>
  <si>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</si>
  <si>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</si>
  <si>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</si>
  <si>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</si>
  <si>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</si>
  <si>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</si>
  <si>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</si>
  <si>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</si>
  <si>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</si>
  <si>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</si>
  <si>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</si>
  <si>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</si>
  <si>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</si>
  <si>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</si>
  <si>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</si>
  <si>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</si>
  <si>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</si>
  <si>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</si>
  <si>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</si>
  <si>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</si>
  <si>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</si>
  <si>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</si>
  <si>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</si>
  <si>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</si>
  <si>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</si>
  <si>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</si>
  <si>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</si>
  <si>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</si>
  <si>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</si>
  <si>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</si>
  <si>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</si>
  <si>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</si>
  <si>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</si>
  <si>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</si>
  <si>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</si>
  <si>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</si>
  <si>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</si>
  <si>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</si>
  <si>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</si>
  <si>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</si>
  <si>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</si>
  <si>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</si>
  <si>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</si>
  <si>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</si>
  <si>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</si>
  <si>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</si>
  <si>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</si>
  <si>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</si>
  <si>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</si>
  <si>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</si>
  <si>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</si>
  <si>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</si>
  <si>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</si>
  <si>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</si>
  <si>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</si>
  <si>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</si>
  <si>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</si>
  <si>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</si>
  <si>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</si>
  <si>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</si>
  <si>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</si>
  <si>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</si>
  <si>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</si>
  <si>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</si>
  <si>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</si>
  <si>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</si>
  <si>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</si>
  <si>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</si>
  <si>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</si>
  <si>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</si>
  <si>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</si>
  <si>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</si>
  <si>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</si>
  <si>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</si>
  <si>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</si>
  <si>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</si>
  <si>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</si>
  <si>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</si>
  <si>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</si>
  <si>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</si>
  <si>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</si>
  <si>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</si>
  <si>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</si>
  <si>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</si>
  <si>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</si>
  <si>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</si>
  <si>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</si>
  <si>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</si>
  <si>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</si>
  <si>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</si>
  <si>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</si>
  <si>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</si>
  <si>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</si>
  <si>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</si>
  <si>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</si>
  <si>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</si>
  <si>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</si>
  <si>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</si>
  <si>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</si>
  <si>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</si>
  <si>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</si>
  <si>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</si>
  <si>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</si>
  <si>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</si>
  <si>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</si>
  <si>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</si>
  <si>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</si>
  <si>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</si>
  <si>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</si>
  <si>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</si>
  <si>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</si>
  <si>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</si>
  <si>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</si>
  <si>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</si>
  <si>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</si>
  <si>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</si>
  <si>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</si>
  <si>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</si>
  <si>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</si>
  <si>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</si>
  <si>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</si>
  <si>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</si>
  <si>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</si>
  <si>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</si>
  <si>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</si>
  <si>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</si>
  <si>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</si>
  <si>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</si>
  <si>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</si>
  <si>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</si>
  <si>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</si>
  <si>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</si>
  <si>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</si>
  <si>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</si>
  <si>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</si>
  <si>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</si>
  <si>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</si>
  <si>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</si>
  <si>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</si>
  <si>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</si>
  <si>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</si>
  <si>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</si>
  <si>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</si>
  <si>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</si>
  <si>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</si>
  <si>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</si>
  <si>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</si>
  <si>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</si>
  <si>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</si>
  <si>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</si>
  <si>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</si>
  <si>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</si>
  <si>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</si>
  <si>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</si>
  <si>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</si>
  <si>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</si>
  <si>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</si>
  <si>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</si>
  <si>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</si>
  <si>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</si>
  <si>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</si>
  <si>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</si>
  <si>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</si>
  <si>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</si>
  <si>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</si>
  <si>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</si>
  <si>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</si>
  <si>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</si>
  <si>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</si>
  <si>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</si>
  <si>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</si>
  <si>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</si>
  <si>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</si>
  <si>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</si>
  <si>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</si>
  <si>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</si>
  <si>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</si>
  <si>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</si>
  <si>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</si>
  <si>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</si>
  <si>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</si>
  <si>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</si>
  <si>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</si>
  <si>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</si>
  <si>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</si>
  <si>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</si>
  <si>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</si>
  <si>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</si>
  <si>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</si>
  <si>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</si>
  <si>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</si>
  <si>
    <t>ELEC 210</t>
  </si>
  <si>
    <t>Introductory Electric Circuits and Machines</t>
  </si>
  <si>
    <t>0</t>
  </si>
  <si>
    <t>51</t>
  </si>
  <si>
    <t>ELEC 221</t>
  </si>
  <si>
    <t>Electric Circuits</t>
  </si>
  <si>
    <t>ELEC 252</t>
  </si>
  <si>
    <t>Electronics I</t>
  </si>
  <si>
    <t>36</t>
  </si>
  <si>
    <t>15</t>
  </si>
  <si>
    <t>ELEC 270</t>
  </si>
  <si>
    <t>Discrete Mathematics with Computer Engineering Applications</t>
  </si>
  <si>
    <t>31</t>
  </si>
  <si>
    <t>11</t>
  </si>
  <si>
    <t>ELEC 271</t>
  </si>
  <si>
    <t>Digital Systems</t>
  </si>
  <si>
    <t>23</t>
  </si>
  <si>
    <t>28</t>
  </si>
  <si>
    <t>ELEC 273</t>
  </si>
  <si>
    <t>Numerical Methods and Optimization</t>
  </si>
  <si>
    <t>21</t>
  </si>
  <si>
    <t>ELEC 274</t>
  </si>
  <si>
    <t>Computer Architecture</t>
  </si>
  <si>
    <t>26</t>
  </si>
  <si>
    <t>22</t>
  </si>
  <si>
    <t>ELEC 278</t>
  </si>
  <si>
    <t>Fundamentals of Information Structures</t>
  </si>
  <si>
    <t>12</t>
  </si>
  <si>
    <t>24</t>
  </si>
  <si>
    <t>ELEC 280</t>
  </si>
  <si>
    <t>Fundamentals of Electromagnetics</t>
  </si>
  <si>
    <t>20</t>
  </si>
  <si>
    <t>14</t>
  </si>
  <si>
    <t>ELEC 299</t>
  </si>
  <si>
    <t>Mechatronics Project</t>
  </si>
  <si>
    <t>18</t>
  </si>
  <si>
    <t>NA</t>
  </si>
  <si>
    <t>ELEC 310</t>
  </si>
  <si>
    <t>Introductory Analog Electronic and Digital Circuits</t>
  </si>
  <si>
    <t>27</t>
  </si>
  <si>
    <t>ELEC 323</t>
  </si>
  <si>
    <t>Continuous-Time Signals and Systems</t>
  </si>
  <si>
    <t>33</t>
  </si>
  <si>
    <t>ELEC 324</t>
  </si>
  <si>
    <t>Discrete-Time Signals and Systems</t>
  </si>
  <si>
    <t>ELEC 326</t>
  </si>
  <si>
    <t>Probability and Random Processes</t>
  </si>
  <si>
    <t>ELEC 333</t>
  </si>
  <si>
    <t>Electric Machines</t>
  </si>
  <si>
    <t>ELEC 344</t>
  </si>
  <si>
    <t>Sensors and Actuators</t>
  </si>
  <si>
    <t>39</t>
  </si>
  <si>
    <t>ELEC 353</t>
  </si>
  <si>
    <t>Electronics II</t>
  </si>
  <si>
    <t>ELEC 371</t>
  </si>
  <si>
    <t>Microprocessor Interfacing and Embedded Systems</t>
  </si>
  <si>
    <t>40</t>
  </si>
  <si>
    <t>ELEC 374</t>
  </si>
  <si>
    <t>Digital Systems Engineering</t>
  </si>
  <si>
    <t>ELEC 377</t>
  </si>
  <si>
    <t>Operating Systems</t>
  </si>
  <si>
    <t>ELEC 381</t>
  </si>
  <si>
    <t>Applications of Electromagnetics</t>
  </si>
  <si>
    <t>ELEC 390</t>
  </si>
  <si>
    <t>Electrical and Computer Engineering Design</t>
  </si>
  <si>
    <t>6</t>
  </si>
  <si>
    <t>ELEC 408</t>
  </si>
  <si>
    <t>Biomedical Signal and Image Processing</t>
  </si>
  <si>
    <t>9</t>
  </si>
  <si>
    <t>ELEC 421</t>
  </si>
  <si>
    <t>Digital Signal Processing: Filters and System Design</t>
  </si>
  <si>
    <t>ELEC 433</t>
  </si>
  <si>
    <t>Energy and Power Systems</t>
  </si>
  <si>
    <t>ELEC 444</t>
  </si>
  <si>
    <t>Modeling and Computer Control of Mechatronic Systems</t>
  </si>
  <si>
    <t>29</t>
  </si>
  <si>
    <t>10</t>
  </si>
  <si>
    <t>ELEC 454</t>
  </si>
  <si>
    <t>Analog Electronics</t>
  </si>
  <si>
    <t>19</t>
  </si>
  <si>
    <t>ELEC 461</t>
  </si>
  <si>
    <t>Digital Communications</t>
  </si>
  <si>
    <t>ELEC 464</t>
  </si>
  <si>
    <t>Wireless Communications</t>
  </si>
  <si>
    <t>ELEC 471</t>
  </si>
  <si>
    <t>Computer Networks I</t>
  </si>
  <si>
    <t>ELEC 474</t>
  </si>
  <si>
    <t>Machine Vision</t>
  </si>
  <si>
    <t>42</t>
  </si>
  <si>
    <t>ELEC 490</t>
  </si>
  <si>
    <t>Electrical Engineering Project</t>
  </si>
  <si>
    <t>63</t>
  </si>
  <si>
    <t>ELEC 491</t>
  </si>
  <si>
    <t>Advanced ECE Thesis I</t>
  </si>
  <si>
    <t>54</t>
  </si>
  <si>
    <t>ELEC 492</t>
  </si>
  <si>
    <t>Advanced ECE Thesis II</t>
  </si>
  <si>
    <t>ELEC 497</t>
  </si>
  <si>
    <t>Research Project</t>
  </si>
  <si>
    <t>ELEC 498</t>
  </si>
  <si>
    <t>Computer Engineering Project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</si>
</sst>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34">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horizontal="left" vertical="center" wrapText="1"/>
    </xf>
    <xf numFmtId="0" fontId="13" fillId="0" borderId="0" xfId="0" applyFont="1" applyFill="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156</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155</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166</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41" t="s">
        <v>37</v>
      </c>
      <c r="E45" s="141"/>
      <c r="F45" s="141"/>
      <c r="G45" s="141"/>
      <c r="H45" s="141"/>
      <c r="I45" s="141"/>
      <c r="J45" s="141"/>
      <c r="K45" s="141"/>
      <c r="L45" s="141"/>
      <c r="M45" s="141"/>
      <c r="N45" s="141"/>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157</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158</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159</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160</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170</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169</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1</v>
      </c>
      <c r="H10" s="139"/>
      <c r="I10" s="139">
        <f>$I$11/$D$11</f>
        <v>0</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45</v>
      </c>
      <c r="H11" s="143"/>
      <c r="I11" s="143"/>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162</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163</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171</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172</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7">
        <v>4.5</v>
      </c>
      <c r="E26" s="147"/>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352</v>
      </c>
      <c r="D3" s="168"/>
      <c r="E3" s="168"/>
      <c r="F3" s="168"/>
      <c r="G3" s="168"/>
      <c r="H3" s="168"/>
      <c r="I3" s="168"/>
      <c r="J3" s="168"/>
      <c r="K3" s="168"/>
      <c r="L3" s="168"/>
      <c r="M3" s="168"/>
      <c r="N3" s="168"/>
      <c r="P3" s="4">
        <v>6</v>
      </c>
      <c r="Q3" s="4">
        <v>10</v>
      </c>
      <c r="R3" s="2"/>
      <c r="S3" s="2"/>
    </row>
    <row r="4" spans="1:24" ht="13.5" customHeight="1">
      <c r="A4" s="161" t="s">
        <v>25</v>
      </c>
      <c r="B4" s="161"/>
      <c r="C4" s="162" t="s">
        <v>353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1.4166666666666667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4.25</v>
      </c>
      <c r="E26" s="152"/>
      <c r="F26" s="114">
        <v>3</v>
      </c>
      <c r="G26" s="114">
        <v>1.25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356</v>
      </c>
      <c r="D3" s="168"/>
      <c r="E3" s="168"/>
      <c r="F3" s="168"/>
      <c r="G3" s="168"/>
      <c r="H3" s="168"/>
      <c r="I3" s="168"/>
      <c r="J3" s="168"/>
      <c r="K3" s="168"/>
      <c r="L3" s="168"/>
      <c r="M3" s="168"/>
      <c r="N3" s="168"/>
      <c r="P3" s="4">
        <v>6</v>
      </c>
      <c r="Q3" s="4">
        <v>10</v>
      </c>
      <c r="R3" s="2"/>
      <c r="S3" s="2"/>
    </row>
    <row r="4" spans="1:24" ht="13.5" customHeight="1">
      <c r="A4" s="161" t="s">
        <v>25</v>
      </c>
      <c r="B4" s="161"/>
      <c r="C4" s="162" t="s">
        <v>357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1.4166666666666667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4.25</v>
      </c>
      <c r="E26" s="152"/>
      <c r="F26" s="114">
        <v>3</v>
      </c>
      <c r="G26" s="114">
        <v>1.25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358</v>
      </c>
      <c r="D3" s="168"/>
      <c r="E3" s="168"/>
      <c r="F3" s="168"/>
      <c r="G3" s="168"/>
      <c r="H3" s="168"/>
      <c r="I3" s="168"/>
      <c r="J3" s="168"/>
      <c r="K3" s="168"/>
      <c r="L3" s="168"/>
      <c r="M3" s="168"/>
      <c r="N3" s="168"/>
      <c r="P3" s="4">
        <v>6</v>
      </c>
      <c r="Q3" s="4">
        <v>10</v>
      </c>
      <c r="R3" s="2"/>
      <c r="S3" s="2"/>
    </row>
    <row r="4" spans="1:24" ht="13.5" customHeight="1">
      <c r="A4" s="161" t="s">
        <v>25</v>
      </c>
      <c r="B4" s="161"/>
      <c r="C4" s="162" t="s">
        <v>359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v>
      </c>
      <c r="L10" s="158"/>
      <c r="M10" s="158">
        <f>$M$11/$D$11</f>
        <v>0.41666666666666669</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360</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4.25</v>
      </c>
      <c r="E26" s="152"/>
      <c r="F26" s="114">
        <v>3</v>
      </c>
      <c r="G26" s="114">
        <v>1.25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362</v>
      </c>
      <c r="D3" s="168"/>
      <c r="E3" s="168"/>
      <c r="F3" s="168"/>
      <c r="G3" s="168"/>
      <c r="H3" s="168"/>
      <c r="I3" s="168"/>
      <c r="J3" s="168"/>
      <c r="K3" s="168"/>
      <c r="L3" s="168"/>
      <c r="M3" s="168"/>
      <c r="N3" s="168"/>
      <c r="P3" s="4">
        <v>6</v>
      </c>
      <c r="Q3" s="4">
        <v>10</v>
      </c>
      <c r="R3" s="2"/>
      <c r="S3" s="2"/>
    </row>
    <row r="4" spans="1:24" ht="13.5" customHeight="1">
      <c r="A4" s="161" t="s">
        <v>25</v>
      </c>
      <c r="B4" s="161"/>
      <c r="C4" s="162" t="s">
        <v>363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0.86111111111111116</v>
      </c>
      <c r="F10" s="158"/>
      <c r="G10" s="158">
        <f>$G$11/$D$11</f>
        <v>0</v>
      </c>
      <c r="H10" s="158"/>
      <c r="I10" s="158">
        <f>$I$11/$D$11</f>
        <v>0</v>
      </c>
      <c r="J10" s="158"/>
      <c r="K10" s="158">
        <f>$K$11/$D$11</f>
        <v>0.30555555555555558</v>
      </c>
      <c r="L10" s="158"/>
      <c r="M10" s="158">
        <f>$M$11/$D$11</f>
        <v>0</v>
      </c>
      <c r="N10" s="158"/>
      <c r="P10" s="14">
        <v>0</v>
      </c>
      <c r="Q10" s="14">
        <v>1</v>
      </c>
      <c r="R10" s="2"/>
      <c r="S10" s="2"/>
      <c r="T10" s="10"/>
    </row>
    <row r="11" spans="1:24" ht="13.5" customHeight="1">
      <c r="A11" s="150"/>
      <c r="B11" s="150"/>
      <c r="C11" s="133" t="s">
        <v>42</v>
      </c>
      <c r="D11" s="132">
        <v>36</v>
      </c>
      <c r="E11" s="159" t="s">
        <v>364</v>
      </c>
      <c r="F11" s="159"/>
      <c r="G11" s="159" t="s">
        <v>354</v>
      </c>
      <c r="H11" s="159"/>
      <c r="I11" s="159" t="s">
        <v>354</v>
      </c>
      <c r="J11" s="159"/>
      <c r="K11" s="159" t="s">
        <v>365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366</v>
      </c>
      <c r="D3" s="168"/>
      <c r="E3" s="168"/>
      <c r="F3" s="168"/>
      <c r="G3" s="168"/>
      <c r="H3" s="168"/>
      <c r="I3" s="168"/>
      <c r="J3" s="168"/>
      <c r="K3" s="168"/>
      <c r="L3" s="168"/>
      <c r="M3" s="168"/>
      <c r="N3" s="168"/>
      <c r="P3" s="4">
        <v>6</v>
      </c>
      <c r="Q3" s="4">
        <v>10</v>
      </c>
      <c r="R3" s="2"/>
      <c r="S3" s="2"/>
    </row>
    <row r="4" spans="1:24" ht="13.5" customHeight="1">
      <c r="A4" s="161" t="s">
        <v>25</v>
      </c>
      <c r="B4" s="161"/>
      <c r="C4" s="162" t="s">
        <v>367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0.63888888888888884</v>
      </c>
      <c r="L10" s="158"/>
      <c r="M10" s="158">
        <f>$M$11/$D$11</f>
        <v>0.77777777777777779</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368</v>
      </c>
      <c r="L11" s="159"/>
      <c r="M11" s="159" t="s">
        <v>369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4.25</v>
      </c>
      <c r="E26" s="152"/>
      <c r="F26" s="114">
        <v>3</v>
      </c>
      <c r="G26" s="114">
        <v>1.25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370</v>
      </c>
      <c r="D3" s="168"/>
      <c r="E3" s="168"/>
      <c r="F3" s="168"/>
      <c r="G3" s="168"/>
      <c r="H3" s="168"/>
      <c r="I3" s="168"/>
      <c r="J3" s="168"/>
      <c r="K3" s="168"/>
      <c r="L3" s="168"/>
      <c r="M3" s="168"/>
      <c r="N3" s="168"/>
      <c r="P3" s="4">
        <v>6</v>
      </c>
      <c r="Q3" s="4">
        <v>10</v>
      </c>
      <c r="R3" s="2"/>
      <c r="S3" s="2"/>
    </row>
    <row r="4" spans="1:24" ht="13.5" customHeight="1">
      <c r="A4" s="161" t="s">
        <v>25</v>
      </c>
      <c r="B4" s="161"/>
      <c r="C4" s="162" t="s">
        <v>371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0.58333333333333337</v>
      </c>
      <c r="F10" s="158"/>
      <c r="G10" s="158">
        <f>$G$11/$D$11</f>
        <v>0</v>
      </c>
      <c r="H10" s="158"/>
      <c r="I10" s="158">
        <f>$I$11/$D$11</f>
        <v>0</v>
      </c>
      <c r="J10" s="158"/>
      <c r="K10" s="158">
        <f>$K$11/$D$11</f>
        <v>0.58333333333333337</v>
      </c>
      <c r="L10" s="158"/>
      <c r="M10" s="158">
        <f>$M$11/$D$11</f>
        <v>0</v>
      </c>
      <c r="N10" s="158"/>
      <c r="P10" s="14">
        <v>0</v>
      </c>
      <c r="Q10" s="14">
        <v>1</v>
      </c>
      <c r="R10" s="2"/>
      <c r="S10" s="2"/>
      <c r="T10" s="10"/>
    </row>
    <row r="11" spans="1:24" ht="13.5" customHeight="1">
      <c r="A11" s="150"/>
      <c r="B11" s="150"/>
      <c r="C11" s="133" t="s">
        <v>42</v>
      </c>
      <c r="D11" s="132">
        <v>36</v>
      </c>
      <c r="E11" s="159" t="s">
        <v>372</v>
      </c>
      <c r="F11" s="159"/>
      <c r="G11" s="159" t="s">
        <v>354</v>
      </c>
      <c r="H11" s="159"/>
      <c r="I11" s="159" t="s">
        <v>354</v>
      </c>
      <c r="J11" s="159"/>
      <c r="K11" s="159" t="s">
        <v>372</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373</v>
      </c>
      <c r="D3" s="168"/>
      <c r="E3" s="168"/>
      <c r="F3" s="168"/>
      <c r="G3" s="168"/>
      <c r="H3" s="168"/>
      <c r="I3" s="168"/>
      <c r="J3" s="168"/>
      <c r="K3" s="168"/>
      <c r="L3" s="168"/>
      <c r="M3" s="168"/>
      <c r="N3" s="168"/>
      <c r="P3" s="4">
        <v>6</v>
      </c>
      <c r="Q3" s="4">
        <v>10</v>
      </c>
      <c r="R3" s="2"/>
      <c r="S3" s="2"/>
    </row>
    <row r="4" spans="1:24" ht="13.5" customHeight="1">
      <c r="A4" s="161" t="s">
        <v>25</v>
      </c>
      <c r="B4" s="161"/>
      <c r="C4" s="162" t="s">
        <v>374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0.72222222222222221</v>
      </c>
      <c r="L10" s="158"/>
      <c r="M10" s="158">
        <f>$M$11/$D$11</f>
        <v>0.61111111111111116</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375</v>
      </c>
      <c r="L11" s="159"/>
      <c r="M11" s="159" t="s">
        <v>376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377</v>
      </c>
      <c r="D3" s="168"/>
      <c r="E3" s="168"/>
      <c r="F3" s="168"/>
      <c r="G3" s="168"/>
      <c r="H3" s="168"/>
      <c r="I3" s="168"/>
      <c r="J3" s="168"/>
      <c r="K3" s="168"/>
      <c r="L3" s="168"/>
      <c r="M3" s="168"/>
      <c r="N3" s="168"/>
      <c r="P3" s="4">
        <v>6</v>
      </c>
      <c r="Q3" s="4">
        <v>10</v>
      </c>
      <c r="R3" s="2"/>
      <c r="S3" s="2"/>
    </row>
    <row r="4" spans="1:24" ht="13.5" customHeight="1">
      <c r="A4" s="161" t="s">
        <v>25</v>
      </c>
      <c r="B4" s="161"/>
      <c r="C4" s="162" t="s">
        <v>378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379</v>
      </c>
      <c r="F11" s="159"/>
      <c r="G11" s="159" t="s">
        <v>354</v>
      </c>
      <c r="H11" s="159"/>
      <c r="I11" s="159" t="s">
        <v>354</v>
      </c>
      <c r="J11" s="159"/>
      <c r="K11" s="159" t="s">
        <v>380</v>
      </c>
      <c r="L11" s="159"/>
      <c r="M11" s="159" t="s">
        <v>379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381</v>
      </c>
      <c r="D3" s="168"/>
      <c r="E3" s="168"/>
      <c r="F3" s="168"/>
      <c r="G3" s="168"/>
      <c r="H3" s="168"/>
      <c r="I3" s="168"/>
      <c r="J3" s="168"/>
      <c r="K3" s="168"/>
      <c r="L3" s="168"/>
      <c r="M3" s="168"/>
      <c r="N3" s="168"/>
      <c r="P3" s="4">
        <v>6</v>
      </c>
      <c r="Q3" s="4">
        <v>10</v>
      </c>
      <c r="R3" s="2"/>
      <c r="S3" s="2"/>
    </row>
    <row r="4" spans="1:24" ht="13.5" customHeight="1">
      <c r="A4" s="161" t="s">
        <v>25</v>
      </c>
      <c r="B4" s="161"/>
      <c r="C4" s="162" t="s">
        <v>382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0.30555555555555558</v>
      </c>
      <c r="F10" s="158"/>
      <c r="G10" s="158">
        <f>$G$11/$D$11</f>
        <v>0.55555555555555558</v>
      </c>
      <c r="H10" s="158"/>
      <c r="I10" s="158">
        <f>$I$11/$D$11</f>
        <v>0</v>
      </c>
      <c r="J10" s="158"/>
      <c r="K10" s="158">
        <f>$K$11/$D$11</f>
        <v>0.3888888888888889</v>
      </c>
      <c r="L10" s="158"/>
      <c r="M10" s="158">
        <f>$M$11/$D$11</f>
        <v>0</v>
      </c>
      <c r="N10" s="158"/>
      <c r="P10" s="14">
        <v>0</v>
      </c>
      <c r="Q10" s="14">
        <v>1</v>
      </c>
      <c r="R10" s="2"/>
      <c r="S10" s="2"/>
      <c r="T10" s="10"/>
    </row>
    <row r="11" spans="1:24" ht="13.5" customHeight="1">
      <c r="A11" s="150"/>
      <c r="B11" s="150"/>
      <c r="C11" s="133" t="s">
        <v>42</v>
      </c>
      <c r="D11" s="132">
        <v>36</v>
      </c>
      <c r="E11" s="159" t="s">
        <v>365</v>
      </c>
      <c r="F11" s="159"/>
      <c r="G11" s="159" t="s">
        <v>383</v>
      </c>
      <c r="H11" s="159"/>
      <c r="I11" s="159" t="s">
        <v>354</v>
      </c>
      <c r="J11" s="159"/>
      <c r="K11" s="159" t="s">
        <v>384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385</v>
      </c>
      <c r="D3" s="168"/>
      <c r="E3" s="168"/>
      <c r="F3" s="168"/>
      <c r="G3" s="168"/>
      <c r="H3" s="168"/>
      <c r="I3" s="168"/>
      <c r="J3" s="168"/>
      <c r="K3" s="168"/>
      <c r="L3" s="168"/>
      <c r="M3" s="168"/>
      <c r="N3" s="168"/>
      <c r="P3" s="4">
        <v>6</v>
      </c>
      <c r="Q3" s="4">
        <v>10</v>
      </c>
      <c r="R3" s="2"/>
      <c r="S3" s="2"/>
    </row>
    <row r="4" spans="1:24" ht="13.5" customHeight="1">
      <c r="A4" s="161" t="s">
        <v>25</v>
      </c>
      <c r="B4" s="161"/>
      <c r="C4" s="162" t="s">
        <v>386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387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388</v>
      </c>
      <c r="E26" s="152"/>
      <c r="F26" s="114" t="s">
        <v>388</v>
      </c>
      <c r="G26" s="114" t="s">
        <v>388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389</v>
      </c>
      <c r="D3" s="168"/>
      <c r="E3" s="168"/>
      <c r="F3" s="168"/>
      <c r="G3" s="168"/>
      <c r="H3" s="168"/>
      <c r="I3" s="168"/>
      <c r="J3" s="168"/>
      <c r="K3" s="168"/>
      <c r="L3" s="168"/>
      <c r="M3" s="168"/>
      <c r="N3" s="168"/>
      <c r="P3" s="4">
        <v>6</v>
      </c>
      <c r="Q3" s="4">
        <v>10</v>
      </c>
      <c r="R3" s="2"/>
      <c r="S3" s="2"/>
    </row>
    <row r="4" spans="1:24" ht="13.5" customHeight="1">
      <c r="A4" s="161" t="s">
        <v>25</v>
      </c>
      <c r="B4" s="161"/>
      <c r="C4" s="162" t="s">
        <v>390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0.75</v>
      </c>
      <c r="L10" s="158"/>
      <c r="M10" s="158">
        <f>$M$11/$D$11</f>
        <v>0.75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391</v>
      </c>
      <c r="L11" s="159"/>
      <c r="M11" s="159" t="s">
        <v>391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392</v>
      </c>
      <c r="D3" s="168"/>
      <c r="E3" s="168"/>
      <c r="F3" s="168"/>
      <c r="G3" s="168"/>
      <c r="H3" s="168"/>
      <c r="I3" s="168"/>
      <c r="J3" s="168"/>
      <c r="K3" s="168"/>
      <c r="L3" s="168"/>
      <c r="M3" s="168"/>
      <c r="N3" s="168"/>
      <c r="P3" s="4">
        <v>6</v>
      </c>
      <c r="Q3" s="4">
        <v>10</v>
      </c>
      <c r="R3" s="2"/>
      <c r="S3" s="2"/>
    </row>
    <row r="4" spans="1:24" ht="13.5" customHeight="1">
      <c r="A4" s="161" t="s">
        <v>25</v>
      </c>
      <c r="B4" s="161"/>
      <c r="C4" s="162" t="s">
        <v>393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v>
      </c>
      <c r="H10" s="158"/>
      <c r="I10" s="158">
        <f>$I$11/$D$11</f>
        <v>0</v>
      </c>
      <c r="J10" s="158"/>
      <c r="K10" s="158">
        <f>$K$11/$D$11</f>
        <v>0.91666666666666663</v>
      </c>
      <c r="L10" s="158"/>
      <c r="M10" s="158">
        <f>$M$11/$D$11</f>
        <v>0</v>
      </c>
      <c r="N10" s="158"/>
      <c r="P10" s="14">
        <v>0</v>
      </c>
      <c r="Q10" s="14">
        <v>1</v>
      </c>
      <c r="R10" s="2"/>
      <c r="S10" s="2"/>
      <c r="T10" s="10"/>
    </row>
    <row r="11" spans="1:24" ht="13.5" customHeight="1">
      <c r="A11" s="150"/>
      <c r="B11" s="150"/>
      <c r="C11" s="133" t="s">
        <v>42</v>
      </c>
      <c r="D11" s="132">
        <v>36</v>
      </c>
      <c r="E11" s="159" t="s">
        <v>379</v>
      </c>
      <c r="F11" s="159"/>
      <c r="G11" s="159" t="s">
        <v>354</v>
      </c>
      <c r="H11" s="159"/>
      <c r="I11" s="159" t="s">
        <v>354</v>
      </c>
      <c r="J11" s="159"/>
      <c r="K11" s="159" t="s">
        <v>394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395</v>
      </c>
      <c r="D3" s="168"/>
      <c r="E3" s="168"/>
      <c r="F3" s="168"/>
      <c r="G3" s="168"/>
      <c r="H3" s="168"/>
      <c r="I3" s="168"/>
      <c r="J3" s="168"/>
      <c r="K3" s="168"/>
      <c r="L3" s="168"/>
      <c r="M3" s="168"/>
      <c r="N3" s="168"/>
      <c r="P3" s="4">
        <v>6</v>
      </c>
      <c r="Q3" s="4">
        <v>10</v>
      </c>
      <c r="R3" s="2"/>
      <c r="S3" s="2"/>
    </row>
    <row r="4" spans="1:24" ht="13.5" customHeight="1">
      <c r="A4" s="161" t="s">
        <v>25</v>
      </c>
      <c r="B4" s="161"/>
      <c r="C4" s="162" t="s">
        <v>396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v>
      </c>
      <c r="H10" s="158"/>
      <c r="I10" s="158">
        <f>$I$11/$D$11</f>
        <v>0</v>
      </c>
      <c r="J10" s="158"/>
      <c r="K10" s="158">
        <f>$K$11/$D$11</f>
        <v>1</v>
      </c>
      <c r="L10" s="158"/>
      <c r="M10" s="158">
        <f>$M$11/$D$11</f>
        <v>0</v>
      </c>
      <c r="N10" s="158"/>
      <c r="P10" s="14">
        <v>0</v>
      </c>
      <c r="Q10" s="14">
        <v>1</v>
      </c>
      <c r="R10" s="2"/>
      <c r="S10" s="2"/>
      <c r="T10" s="10"/>
    </row>
    <row r="11" spans="1:24" ht="13.5" customHeight="1">
      <c r="A11" s="150"/>
      <c r="B11" s="150"/>
      <c r="C11" s="133" t="s">
        <v>42</v>
      </c>
      <c r="D11" s="132">
        <v>36</v>
      </c>
      <c r="E11" s="159" t="s">
        <v>379</v>
      </c>
      <c r="F11" s="159"/>
      <c r="G11" s="159" t="s">
        <v>354</v>
      </c>
      <c r="H11" s="159"/>
      <c r="I11" s="159" t="s">
        <v>354</v>
      </c>
      <c r="J11" s="159"/>
      <c r="K11" s="159" t="s">
        <v>360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397</v>
      </c>
      <c r="D3" s="168"/>
      <c r="E3" s="168"/>
      <c r="F3" s="168"/>
      <c r="G3" s="168"/>
      <c r="H3" s="168"/>
      <c r="I3" s="168"/>
      <c r="J3" s="168"/>
      <c r="K3" s="168"/>
      <c r="L3" s="168"/>
      <c r="M3" s="168"/>
      <c r="N3" s="168"/>
      <c r="P3" s="4">
        <v>6</v>
      </c>
      <c r="Q3" s="4">
        <v>10</v>
      </c>
      <c r="R3" s="2"/>
      <c r="S3" s="2"/>
    </row>
    <row r="4" spans="1:24" ht="13.5" customHeight="1">
      <c r="A4" s="161" t="s">
        <v>25</v>
      </c>
      <c r="B4" s="161"/>
      <c r="C4" s="162" t="s">
        <v>398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0.66666666666666663</v>
      </c>
      <c r="F10" s="158"/>
      <c r="G10" s="158">
        <f>$G$11/$D$11</f>
        <v>0</v>
      </c>
      <c r="H10" s="158"/>
      <c r="I10" s="158">
        <f>$I$11/$D$11</f>
        <v>0</v>
      </c>
      <c r="J10" s="158"/>
      <c r="K10" s="158">
        <f>$K$11/$D$11</f>
        <v>0.5</v>
      </c>
      <c r="L10" s="158"/>
      <c r="M10" s="158">
        <f>$M$11/$D$11</f>
        <v>0</v>
      </c>
      <c r="N10" s="158"/>
      <c r="P10" s="14">
        <v>0</v>
      </c>
      <c r="Q10" s="14">
        <v>1</v>
      </c>
      <c r="R10" s="2"/>
      <c r="S10" s="2"/>
      <c r="T10" s="10"/>
    </row>
    <row r="11" spans="1:24" ht="13.5" customHeight="1">
      <c r="A11" s="150"/>
      <c r="B11" s="150"/>
      <c r="C11" s="133" t="s">
        <v>42</v>
      </c>
      <c r="D11" s="132">
        <v>36</v>
      </c>
      <c r="E11" s="159" t="s">
        <v>380</v>
      </c>
      <c r="F11" s="159"/>
      <c r="G11" s="159" t="s">
        <v>354</v>
      </c>
      <c r="H11" s="159"/>
      <c r="I11" s="159" t="s">
        <v>354</v>
      </c>
      <c r="J11" s="159"/>
      <c r="K11" s="159" t="s">
        <v>387</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399</v>
      </c>
      <c r="D3" s="168"/>
      <c r="E3" s="168"/>
      <c r="F3" s="168"/>
      <c r="G3" s="168"/>
      <c r="H3" s="168"/>
      <c r="I3" s="168"/>
      <c r="J3" s="168"/>
      <c r="K3" s="168"/>
      <c r="L3" s="168"/>
      <c r="M3" s="168"/>
      <c r="N3" s="168"/>
      <c r="P3" s="4">
        <v>6</v>
      </c>
      <c r="Q3" s="4">
        <v>10</v>
      </c>
      <c r="R3" s="2"/>
      <c r="S3" s="2"/>
    </row>
    <row r="4" spans="1:24" ht="13.5" customHeight="1">
      <c r="A4" s="161" t="s">
        <v>25</v>
      </c>
      <c r="B4" s="161"/>
      <c r="C4" s="162" t="s">
        <v>400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0.3888888888888889</v>
      </c>
      <c r="H10" s="158"/>
      <c r="I10" s="158">
        <f>$I$11/$D$11</f>
        <v>0</v>
      </c>
      <c r="J10" s="158"/>
      <c r="K10" s="158">
        <f>$K$11/$D$11</f>
        <v>0.72222222222222221</v>
      </c>
      <c r="L10" s="158"/>
      <c r="M10" s="158">
        <f>$M$11/$D$11</f>
        <v>0.3888888888888889</v>
      </c>
      <c r="N10" s="158"/>
      <c r="P10" s="14">
        <v>0</v>
      </c>
      <c r="Q10" s="14">
        <v>1</v>
      </c>
      <c r="R10" s="2"/>
      <c r="S10" s="2"/>
      <c r="T10" s="10"/>
    </row>
    <row r="11" spans="1:24" ht="13.5" customHeight="1">
      <c r="A11" s="150"/>
      <c r="B11" s="150"/>
      <c r="C11" s="133" t="s">
        <v>42</v>
      </c>
      <c r="D11" s="132">
        <v>36</v>
      </c>
      <c r="E11" s="159" t="s">
        <v>354</v>
      </c>
      <c r="F11" s="159"/>
      <c r="G11" s="159" t="s">
        <v>384</v>
      </c>
      <c r="H11" s="159"/>
      <c r="I11" s="159" t="s">
        <v>354</v>
      </c>
      <c r="J11" s="159"/>
      <c r="K11" s="159" t="s">
        <v>375</v>
      </c>
      <c r="L11" s="159"/>
      <c r="M11" s="159" t="s">
        <v>384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401</v>
      </c>
      <c r="D3" s="168"/>
      <c r="E3" s="168"/>
      <c r="F3" s="168"/>
      <c r="G3" s="168"/>
      <c r="H3" s="168"/>
      <c r="I3" s="168"/>
      <c r="J3" s="168"/>
      <c r="K3" s="168"/>
      <c r="L3" s="168"/>
      <c r="M3" s="168"/>
      <c r="N3" s="168"/>
      <c r="P3" s="4">
        <v>6</v>
      </c>
      <c r="Q3" s="4">
        <v>10</v>
      </c>
      <c r="R3" s="2"/>
      <c r="S3" s="2"/>
    </row>
    <row r="4" spans="1:24" ht="13.5" customHeight="1">
      <c r="A4" s="161" t="s">
        <v>25</v>
      </c>
      <c r="B4" s="161"/>
      <c r="C4" s="162" t="s">
        <v>402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1.0833333333333333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403</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3.25</v>
      </c>
      <c r="E26" s="152"/>
      <c r="F26" s="114">
        <v>3</v>
      </c>
      <c r="G26" s="114">
        <v>0.25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404</v>
      </c>
      <c r="D3" s="168"/>
      <c r="E3" s="168"/>
      <c r="F3" s="168"/>
      <c r="G3" s="168"/>
      <c r="H3" s="168"/>
      <c r="I3" s="168"/>
      <c r="J3" s="168"/>
      <c r="K3" s="168"/>
      <c r="L3" s="168"/>
      <c r="M3" s="168"/>
      <c r="N3" s="168"/>
      <c r="P3" s="4">
        <v>6</v>
      </c>
      <c r="Q3" s="4">
        <v>10</v>
      </c>
      <c r="R3" s="2"/>
      <c r="S3" s="2"/>
    </row>
    <row r="4" spans="1:24" ht="13.5" customHeight="1">
      <c r="A4" s="161" t="s">
        <v>25</v>
      </c>
      <c r="B4" s="161"/>
      <c r="C4" s="162" t="s">
        <v>405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0.75</v>
      </c>
      <c r="L10" s="158"/>
      <c r="M10" s="158">
        <f>$M$11/$D$11</f>
        <v>0.75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391</v>
      </c>
      <c r="L11" s="159"/>
      <c r="M11" s="159" t="s">
        <v>391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406</v>
      </c>
      <c r="D3" s="168"/>
      <c r="E3" s="168"/>
      <c r="F3" s="168"/>
      <c r="G3" s="168"/>
      <c r="H3" s="168"/>
      <c r="I3" s="168"/>
      <c r="J3" s="168"/>
      <c r="K3" s="168"/>
      <c r="L3" s="168"/>
      <c r="M3" s="168"/>
      <c r="N3" s="168"/>
      <c r="P3" s="4">
        <v>6</v>
      </c>
      <c r="Q3" s="4">
        <v>10</v>
      </c>
      <c r="R3" s="2"/>
      <c r="S3" s="2"/>
    </row>
    <row r="4" spans="1:24" ht="13.5" customHeight="1">
      <c r="A4" s="161" t="s">
        <v>25</v>
      </c>
      <c r="B4" s="161"/>
      <c r="C4" s="162" t="s">
        <v>407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1.1111111111111112</v>
      </c>
      <c r="L10" s="158"/>
      <c r="M10" s="158">
        <f>$M$11/$D$11</f>
        <v>0.3888888888888889</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408</v>
      </c>
      <c r="L11" s="159"/>
      <c r="M11" s="159" t="s">
        <v>384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409</v>
      </c>
      <c r="D3" s="168"/>
      <c r="E3" s="168"/>
      <c r="F3" s="168"/>
      <c r="G3" s="168"/>
      <c r="H3" s="168"/>
      <c r="I3" s="168"/>
      <c r="J3" s="168"/>
      <c r="K3" s="168"/>
      <c r="L3" s="168"/>
      <c r="M3" s="168"/>
      <c r="N3" s="168"/>
      <c r="P3" s="4">
        <v>6</v>
      </c>
      <c r="Q3" s="4">
        <v>10</v>
      </c>
      <c r="R3" s="2"/>
      <c r="S3" s="2"/>
    </row>
    <row r="4" spans="1:24" ht="13.5" customHeight="1">
      <c r="A4" s="161" t="s">
        <v>25</v>
      </c>
      <c r="B4" s="161"/>
      <c r="C4" s="162" t="s">
        <v>410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0.77777777777777779</v>
      </c>
      <c r="L10" s="158"/>
      <c r="M10" s="158">
        <f>$M$11/$D$11</f>
        <v>0.63888888888888884</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369</v>
      </c>
      <c r="L11" s="159"/>
      <c r="M11" s="159" t="s">
        <v>368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4.25</v>
      </c>
      <c r="E26" s="152"/>
      <c r="F26" s="114">
        <v>3</v>
      </c>
      <c r="G26" s="114">
        <v>1.25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411</v>
      </c>
      <c r="D3" s="168"/>
      <c r="E3" s="168"/>
      <c r="F3" s="168"/>
      <c r="G3" s="168"/>
      <c r="H3" s="168"/>
      <c r="I3" s="168"/>
      <c r="J3" s="168"/>
      <c r="K3" s="168"/>
      <c r="L3" s="168"/>
      <c r="M3" s="168"/>
      <c r="N3" s="168"/>
      <c r="P3" s="4">
        <v>6</v>
      </c>
      <c r="Q3" s="4">
        <v>10</v>
      </c>
      <c r="R3" s="2"/>
      <c r="S3" s="2"/>
    </row>
    <row r="4" spans="1:24" ht="13.5" customHeight="1">
      <c r="A4" s="161" t="s">
        <v>25</v>
      </c>
      <c r="B4" s="161"/>
      <c r="C4" s="162" t="s">
        <v>412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0.72222222222222221</v>
      </c>
      <c r="L10" s="158"/>
      <c r="M10" s="158">
        <f>$M$11/$D$11</f>
        <v>0.61111111111111116</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375</v>
      </c>
      <c r="L11" s="159"/>
      <c r="M11" s="159" t="s">
        <v>376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413</v>
      </c>
      <c r="D3" s="168"/>
      <c r="E3" s="168"/>
      <c r="F3" s="168"/>
      <c r="G3" s="168"/>
      <c r="H3" s="168"/>
      <c r="I3" s="168"/>
      <c r="J3" s="168"/>
      <c r="K3" s="168"/>
      <c r="L3" s="168"/>
      <c r="M3" s="168"/>
      <c r="N3" s="168"/>
      <c r="P3" s="4">
        <v>6</v>
      </c>
      <c r="Q3" s="4">
        <v>10</v>
      </c>
      <c r="R3" s="2"/>
      <c r="S3" s="2"/>
    </row>
    <row r="4" spans="1:24" ht="13.5" customHeight="1">
      <c r="A4" s="161" t="s">
        <v>25</v>
      </c>
      <c r="B4" s="161"/>
      <c r="C4" s="162" t="s">
        <v>414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380</v>
      </c>
      <c r="L11" s="159"/>
      <c r="M11" s="159" t="s">
        <v>387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415</v>
      </c>
      <c r="D3" s="168"/>
      <c r="E3" s="168"/>
      <c r="F3" s="168"/>
      <c r="G3" s="168"/>
      <c r="H3" s="168"/>
      <c r="I3" s="168"/>
      <c r="J3" s="168"/>
      <c r="K3" s="168"/>
      <c r="L3" s="168"/>
      <c r="M3" s="168"/>
      <c r="N3" s="168"/>
      <c r="P3" s="4">
        <v>6</v>
      </c>
      <c r="Q3" s="4">
        <v>10</v>
      </c>
      <c r="R3" s="2"/>
      <c r="S3" s="2"/>
    </row>
    <row r="4" spans="1:24" ht="13.5" customHeight="1">
      <c r="A4" s="161" t="s">
        <v>25</v>
      </c>
      <c r="B4" s="161"/>
      <c r="C4" s="162" t="s">
        <v>416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0.16666666666666666</v>
      </c>
      <c r="J10" s="158"/>
      <c r="K10" s="158">
        <f>$K$11/$D$11</f>
        <v>0</v>
      </c>
      <c r="L10" s="158"/>
      <c r="M10" s="158">
        <f>$M$11/$D$11</f>
        <v>0.58333333333333337</v>
      </c>
      <c r="N10" s="158"/>
      <c r="P10" s="14">
        <v>0</v>
      </c>
      <c r="Q10" s="14">
        <v>1</v>
      </c>
      <c r="R10" s="2"/>
      <c r="S10" s="2"/>
      <c r="T10" s="10"/>
    </row>
    <row r="11" spans="1:24" ht="13.5" customHeight="1">
      <c r="A11" s="150"/>
      <c r="B11" s="150"/>
      <c r="C11" s="133" t="s">
        <v>42</v>
      </c>
      <c r="D11" s="132">
        <v>36</v>
      </c>
      <c r="E11" s="159" t="s">
        <v>354</v>
      </c>
      <c r="F11" s="159"/>
      <c r="G11" s="159" t="s">
        <v>354</v>
      </c>
      <c r="H11" s="159"/>
      <c r="I11" s="159" t="s">
        <v>417</v>
      </c>
      <c r="J11" s="159"/>
      <c r="K11" s="159" t="s">
        <v>354</v>
      </c>
      <c r="L11" s="159"/>
      <c r="M11" s="159" t="s">
        <v>372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388</v>
      </c>
      <c r="E26" s="152"/>
      <c r="F26" s="114" t="s">
        <v>388</v>
      </c>
      <c r="G26" s="114" t="s">
        <v>388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418</v>
      </c>
      <c r="D3" s="168"/>
      <c r="E3" s="168"/>
      <c r="F3" s="168"/>
      <c r="G3" s="168"/>
      <c r="H3" s="168"/>
      <c r="I3" s="168"/>
      <c r="J3" s="168"/>
      <c r="K3" s="168"/>
      <c r="L3" s="168"/>
      <c r="M3" s="168"/>
      <c r="N3" s="168"/>
      <c r="P3" s="4">
        <v>6</v>
      </c>
      <c r="Q3" s="4">
        <v>10</v>
      </c>
      <c r="R3" s="2"/>
      <c r="S3" s="2"/>
    </row>
    <row r="4" spans="1:24" ht="13.5" customHeight="1">
      <c r="A4" s="161" t="s">
        <v>25</v>
      </c>
      <c r="B4" s="161"/>
      <c r="C4" s="162" t="s">
        <v>419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0.25</v>
      </c>
      <c r="H10" s="158"/>
      <c r="I10" s="158">
        <f>$I$11/$D$11</f>
        <v>0</v>
      </c>
      <c r="J10" s="158"/>
      <c r="K10" s="158">
        <f>$K$11/$D$11</f>
        <v>0.5</v>
      </c>
      <c r="L10" s="158"/>
      <c r="M10" s="158">
        <f>$M$11/$D$11</f>
        <v>0.25</v>
      </c>
      <c r="N10" s="158"/>
      <c r="P10" s="14">
        <v>0</v>
      </c>
      <c r="Q10" s="14">
        <v>1</v>
      </c>
      <c r="R10" s="2"/>
      <c r="S10" s="2"/>
      <c r="T10" s="10"/>
    </row>
    <row r="11" spans="1:24" ht="13.5" customHeight="1">
      <c r="A11" s="150"/>
      <c r="B11" s="150"/>
      <c r="C11" s="133" t="s">
        <v>42</v>
      </c>
      <c r="D11" s="132">
        <v>36</v>
      </c>
      <c r="E11" s="159" t="s">
        <v>354</v>
      </c>
      <c r="F11" s="159"/>
      <c r="G11" s="159" t="s">
        <v>420</v>
      </c>
      <c r="H11" s="159"/>
      <c r="I11" s="159" t="s">
        <v>354</v>
      </c>
      <c r="J11" s="159"/>
      <c r="K11" s="159" t="s">
        <v>387</v>
      </c>
      <c r="L11" s="159"/>
      <c r="M11" s="159" t="s">
        <v>420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421</v>
      </c>
      <c r="D3" s="168"/>
      <c r="E3" s="168"/>
      <c r="F3" s="168"/>
      <c r="G3" s="168"/>
      <c r="H3" s="168"/>
      <c r="I3" s="168"/>
      <c r="J3" s="168"/>
      <c r="K3" s="168"/>
      <c r="L3" s="168"/>
      <c r="M3" s="168"/>
      <c r="N3" s="168"/>
      <c r="P3" s="4">
        <v>6</v>
      </c>
      <c r="Q3" s="4">
        <v>10</v>
      </c>
      <c r="R3" s="2"/>
      <c r="S3" s="2"/>
    </row>
    <row r="4" spans="1:24" ht="13.5" customHeight="1">
      <c r="A4" s="161" t="s">
        <v>25</v>
      </c>
      <c r="B4" s="161"/>
      <c r="C4" s="162" t="s">
        <v>422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0.66666666666666663</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380</v>
      </c>
      <c r="L11" s="159"/>
      <c r="M11" s="159" t="s">
        <v>380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423</v>
      </c>
      <c r="D3" s="168"/>
      <c r="E3" s="168"/>
      <c r="F3" s="168"/>
      <c r="G3" s="168"/>
      <c r="H3" s="168"/>
      <c r="I3" s="168"/>
      <c r="J3" s="168"/>
      <c r="K3" s="168"/>
      <c r="L3" s="168"/>
      <c r="M3" s="168"/>
      <c r="N3" s="168"/>
      <c r="P3" s="4">
        <v>6</v>
      </c>
      <c r="Q3" s="4">
        <v>10</v>
      </c>
      <c r="R3" s="2"/>
      <c r="S3" s="2"/>
    </row>
    <row r="4" spans="1:24" ht="13.5" customHeight="1">
      <c r="A4" s="161" t="s">
        <v>25</v>
      </c>
      <c r="B4" s="161"/>
      <c r="C4" s="162" t="s">
        <v>424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380</v>
      </c>
      <c r="L11" s="159"/>
      <c r="M11" s="159" t="s">
        <v>387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425</v>
      </c>
      <c r="D3" s="168"/>
      <c r="E3" s="168"/>
      <c r="F3" s="168"/>
      <c r="G3" s="168"/>
      <c r="H3" s="168"/>
      <c r="I3" s="168"/>
      <c r="J3" s="168"/>
      <c r="K3" s="168"/>
      <c r="L3" s="168"/>
      <c r="M3" s="168"/>
      <c r="N3" s="168"/>
      <c r="P3" s="4">
        <v>6</v>
      </c>
      <c r="Q3" s="4">
        <v>10</v>
      </c>
      <c r="R3" s="2"/>
      <c r="S3" s="2"/>
    </row>
    <row r="4" spans="1:24" ht="13.5" customHeight="1">
      <c r="A4" s="161" t="s">
        <v>25</v>
      </c>
      <c r="B4" s="161"/>
      <c r="C4" s="162" t="s">
        <v>426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0.80555555555555558</v>
      </c>
      <c r="L10" s="158"/>
      <c r="M10" s="158">
        <f>$M$11/$D$11</f>
        <v>0.27777777777777779</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427</v>
      </c>
      <c r="L11" s="159"/>
      <c r="M11" s="159" t="s">
        <v>428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3.25</v>
      </c>
      <c r="E26" s="152"/>
      <c r="F26" s="114">
        <v>3</v>
      </c>
      <c r="G26" s="114">
        <v>0.25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429</v>
      </c>
      <c r="D3" s="168"/>
      <c r="E3" s="168"/>
      <c r="F3" s="168"/>
      <c r="G3" s="168"/>
      <c r="H3" s="168"/>
      <c r="I3" s="168"/>
      <c r="J3" s="168"/>
      <c r="K3" s="168"/>
      <c r="L3" s="168"/>
      <c r="M3" s="168"/>
      <c r="N3" s="168"/>
      <c r="P3" s="4">
        <v>6</v>
      </c>
      <c r="Q3" s="4">
        <v>10</v>
      </c>
      <c r="R3" s="2"/>
      <c r="S3" s="2"/>
    </row>
    <row r="4" spans="1:24" ht="13.5" customHeight="1">
      <c r="A4" s="161" t="s">
        <v>25</v>
      </c>
      <c r="B4" s="161"/>
      <c r="C4" s="162" t="s">
        <v>430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0.55555555555555558</v>
      </c>
      <c r="L10" s="158"/>
      <c r="M10" s="158">
        <f>$M$11/$D$11</f>
        <v>0.52777777777777779</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383</v>
      </c>
      <c r="L11" s="159"/>
      <c r="M11" s="159" t="s">
        <v>431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3.25</v>
      </c>
      <c r="E26" s="152"/>
      <c r="F26" s="114">
        <v>3</v>
      </c>
      <c r="G26" s="114">
        <v>0.25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432</v>
      </c>
      <c r="D3" s="168"/>
      <c r="E3" s="168"/>
      <c r="F3" s="168"/>
      <c r="G3" s="168"/>
      <c r="H3" s="168"/>
      <c r="I3" s="168"/>
      <c r="J3" s="168"/>
      <c r="K3" s="168"/>
      <c r="L3" s="168"/>
      <c r="M3" s="168"/>
      <c r="N3" s="168"/>
      <c r="P3" s="4">
        <v>6</v>
      </c>
      <c r="Q3" s="4">
        <v>10</v>
      </c>
      <c r="R3" s="2"/>
      <c r="S3" s="2"/>
    </row>
    <row r="4" spans="1:24" ht="13.5" customHeight="1">
      <c r="A4" s="161" t="s">
        <v>25</v>
      </c>
      <c r="B4" s="161"/>
      <c r="C4" s="162" t="s">
        <v>433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0.58333333333333337</v>
      </c>
      <c r="L10" s="158"/>
      <c r="M10" s="158">
        <f>$M$11/$D$11</f>
        <v>0.58333333333333337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372</v>
      </c>
      <c r="L11" s="159"/>
      <c r="M11" s="159" t="s">
        <v>372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434</v>
      </c>
      <c r="D3" s="168"/>
      <c r="E3" s="168"/>
      <c r="F3" s="168"/>
      <c r="G3" s="168"/>
      <c r="H3" s="168"/>
      <c r="I3" s="168"/>
      <c r="J3" s="168"/>
      <c r="K3" s="168"/>
      <c r="L3" s="168"/>
      <c r="M3" s="168"/>
      <c r="N3" s="168"/>
      <c r="P3" s="4">
        <v>6</v>
      </c>
      <c r="Q3" s="4">
        <v>10</v>
      </c>
      <c r="R3" s="2"/>
      <c r="S3" s="2"/>
    </row>
    <row r="4" spans="1:24" ht="13.5" customHeight="1">
      <c r="A4" s="161" t="s">
        <v>25</v>
      </c>
      <c r="B4" s="161"/>
      <c r="C4" s="162" t="s">
        <v>435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0.5</v>
      </c>
      <c r="L10" s="158"/>
      <c r="M10" s="158">
        <f>$M$11/$D$11</f>
        <v>0.5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387</v>
      </c>
      <c r="L11" s="159"/>
      <c r="M11" s="159" t="s">
        <v>387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436</v>
      </c>
      <c r="D3" s="168"/>
      <c r="E3" s="168"/>
      <c r="F3" s="168"/>
      <c r="G3" s="168"/>
      <c r="H3" s="168"/>
      <c r="I3" s="168"/>
      <c r="J3" s="168"/>
      <c r="K3" s="168"/>
      <c r="L3" s="168"/>
      <c r="M3" s="168"/>
      <c r="N3" s="168"/>
      <c r="P3" s="4">
        <v>6</v>
      </c>
      <c r="Q3" s="4">
        <v>10</v>
      </c>
      <c r="R3" s="2"/>
      <c r="S3" s="2"/>
    </row>
    <row r="4" spans="1:24" ht="13.5" customHeight="1">
      <c r="A4" s="161" t="s">
        <v>25</v>
      </c>
      <c r="B4" s="161"/>
      <c r="C4" s="162" t="s">
        <v>437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0.27777777777777779</v>
      </c>
      <c r="L10" s="158"/>
      <c r="M10" s="158">
        <f>$M$11/$D$11</f>
        <v>0.72222222222222221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428</v>
      </c>
      <c r="L11" s="159"/>
      <c r="M11" s="159" t="s">
        <v>375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438</v>
      </c>
      <c r="D3" s="168"/>
      <c r="E3" s="168"/>
      <c r="F3" s="168"/>
      <c r="G3" s="168"/>
      <c r="H3" s="168"/>
      <c r="I3" s="168"/>
      <c r="J3" s="168"/>
      <c r="K3" s="168"/>
      <c r="L3" s="168"/>
      <c r="M3" s="168"/>
      <c r="N3" s="168"/>
      <c r="P3" s="4">
        <v>6</v>
      </c>
      <c r="Q3" s="4">
        <v>10</v>
      </c>
      <c r="R3" s="2"/>
      <c r="S3" s="2"/>
    </row>
    <row r="4" spans="1:24" ht="13.5" customHeight="1">
      <c r="A4" s="161" t="s">
        <v>25</v>
      </c>
      <c r="B4" s="161"/>
      <c r="C4" s="162" t="s">
        <v>439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440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441</v>
      </c>
      <c r="D3" s="168"/>
      <c r="E3" s="168"/>
      <c r="F3" s="168"/>
      <c r="G3" s="168"/>
      <c r="H3" s="168"/>
      <c r="I3" s="168"/>
      <c r="J3" s="168"/>
      <c r="K3" s="168"/>
      <c r="L3" s="168"/>
      <c r="M3" s="168"/>
      <c r="N3" s="168"/>
      <c r="P3" s="4">
        <v>6</v>
      </c>
      <c r="Q3" s="4">
        <v>10</v>
      </c>
      <c r="R3" s="2"/>
      <c r="S3" s="2"/>
    </row>
    <row r="4" spans="1:24" ht="13.5" customHeight="1">
      <c r="A4" s="161" t="s">
        <v>25</v>
      </c>
      <c r="B4" s="161"/>
      <c r="C4" s="162" t="s">
        <v>442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0.58333333333333337</v>
      </c>
      <c r="J10" s="158"/>
      <c r="K10" s="158">
        <f>$K$11/$D$11</f>
        <v>0</v>
      </c>
      <c r="L10" s="158"/>
      <c r="M10" s="158">
        <f>$M$11/$D$11</f>
        <v>1.75</v>
      </c>
      <c r="N10" s="158"/>
      <c r="P10" s="14">
        <v>0</v>
      </c>
      <c r="Q10" s="14">
        <v>1</v>
      </c>
      <c r="R10" s="2"/>
      <c r="S10" s="2"/>
      <c r="T10" s="10"/>
    </row>
    <row r="11" spans="1:24" ht="13.5" customHeight="1">
      <c r="A11" s="150"/>
      <c r="B11" s="150"/>
      <c r="C11" s="133" t="s">
        <v>42</v>
      </c>
      <c r="D11" s="132">
        <v>36</v>
      </c>
      <c r="E11" s="159" t="s">
        <v>354</v>
      </c>
      <c r="F11" s="159"/>
      <c r="G11" s="159" t="s">
        <v>354</v>
      </c>
      <c r="H11" s="159"/>
      <c r="I11" s="159" t="s">
        <v>372</v>
      </c>
      <c r="J11" s="159"/>
      <c r="K11" s="159" t="s">
        <v>354</v>
      </c>
      <c r="L11" s="159"/>
      <c r="M11" s="159" t="s">
        <v>443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388</v>
      </c>
      <c r="E26" s="152"/>
      <c r="F26" s="114" t="s">
        <v>388</v>
      </c>
      <c r="G26" s="114" t="s">
        <v>388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444</v>
      </c>
      <c r="D3" s="168"/>
      <c r="E3" s="168"/>
      <c r="F3" s="168"/>
      <c r="G3" s="168"/>
      <c r="H3" s="168"/>
      <c r="I3" s="168"/>
      <c r="J3" s="168"/>
      <c r="K3" s="168"/>
      <c r="L3" s="168"/>
      <c r="M3" s="168"/>
      <c r="N3" s="168"/>
      <c r="P3" s="4">
        <v>6</v>
      </c>
      <c r="Q3" s="4">
        <v>10</v>
      </c>
      <c r="R3" s="2"/>
      <c r="S3" s="2"/>
    </row>
    <row r="4" spans="1:24" ht="13.5" customHeight="1">
      <c r="A4" s="161" t="s">
        <v>25</v>
      </c>
      <c r="B4" s="161"/>
      <c r="C4" s="162" t="s">
        <v>445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1.5</v>
      </c>
      <c r="L10" s="158"/>
      <c r="M10" s="158">
        <f>$M$11/$D$11</f>
        <v>0.5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446</v>
      </c>
      <c r="L11" s="159"/>
      <c r="M11" s="159" t="s">
        <v>387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6</v>
      </c>
      <c r="E26" s="152"/>
      <c r="F26" s="114">
        <v>0</v>
      </c>
      <c r="G26" s="114">
        <v>6</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447</v>
      </c>
      <c r="D3" s="168"/>
      <c r="E3" s="168"/>
      <c r="F3" s="168"/>
      <c r="G3" s="168"/>
      <c r="H3" s="168"/>
      <c r="I3" s="168"/>
      <c r="J3" s="168"/>
      <c r="K3" s="168"/>
      <c r="L3" s="168"/>
      <c r="M3" s="168"/>
      <c r="N3" s="168"/>
      <c r="P3" s="4">
        <v>6</v>
      </c>
      <c r="Q3" s="4">
        <v>10</v>
      </c>
      <c r="R3" s="2"/>
      <c r="S3" s="2"/>
    </row>
    <row r="4" spans="1:24" ht="13.5" customHeight="1">
      <c r="A4" s="161" t="s">
        <v>25</v>
      </c>
      <c r="B4" s="161"/>
      <c r="C4" s="162" t="s">
        <v>448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1.5</v>
      </c>
      <c r="L10" s="158"/>
      <c r="M10" s="158">
        <f>$M$11/$D$11</f>
        <v>0.5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446</v>
      </c>
      <c r="L11" s="159"/>
      <c r="M11" s="159" t="s">
        <v>387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6</v>
      </c>
      <c r="E26" s="152"/>
      <c r="F26" s="114">
        <v>0</v>
      </c>
      <c r="G26" s="114">
        <v>6</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449</v>
      </c>
      <c r="D3" s="168"/>
      <c r="E3" s="168"/>
      <c r="F3" s="168"/>
      <c r="G3" s="168"/>
      <c r="H3" s="168"/>
      <c r="I3" s="168"/>
      <c r="J3" s="168"/>
      <c r="K3" s="168"/>
      <c r="L3" s="168"/>
      <c r="M3" s="168"/>
      <c r="N3" s="168"/>
      <c r="P3" s="4">
        <v>6</v>
      </c>
      <c r="Q3" s="4">
        <v>10</v>
      </c>
      <c r="R3" s="2"/>
      <c r="S3" s="2"/>
    </row>
    <row r="4" spans="1:24" ht="13.5" customHeight="1">
      <c r="A4" s="161" t="s">
        <v>25</v>
      </c>
      <c r="B4" s="161"/>
      <c r="C4" s="162" t="s">
        <v>450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440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0</v>
      </c>
      <c r="G26" s="114">
        <v>3.5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451</v>
      </c>
      <c r="D3" s="168"/>
      <c r="E3" s="168"/>
      <c r="F3" s="168"/>
      <c r="G3" s="168"/>
      <c r="H3" s="168"/>
      <c r="I3" s="168"/>
      <c r="J3" s="168"/>
      <c r="K3" s="168"/>
      <c r="L3" s="168"/>
      <c r="M3" s="168"/>
      <c r="N3" s="168"/>
      <c r="P3" s="4">
        <v>6</v>
      </c>
      <c r="Q3" s="4">
        <v>10</v>
      </c>
      <c r="R3" s="2"/>
      <c r="S3" s="2"/>
    </row>
    <row r="4" spans="1:24" ht="13.5" customHeight="1">
      <c r="A4" s="161" t="s">
        <v>25</v>
      </c>
      <c r="B4" s="161"/>
      <c r="C4" s="162" t="s">
        <v>452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0.58333333333333337</v>
      </c>
      <c r="J10" s="158"/>
      <c r="K10" s="158">
        <f>$K$11/$D$11</f>
        <v>0</v>
      </c>
      <c r="L10" s="158"/>
      <c r="M10" s="158">
        <f>$M$11/$D$11</f>
        <v>1.75</v>
      </c>
      <c r="N10" s="158"/>
      <c r="P10" s="14">
        <v>0</v>
      </c>
      <c r="Q10" s="14">
        <v>1</v>
      </c>
      <c r="R10" s="2"/>
      <c r="S10" s="2"/>
      <c r="T10" s="10"/>
    </row>
    <row r="11" spans="1:24" ht="13.5" customHeight="1">
      <c r="A11" s="150"/>
      <c r="B11" s="150"/>
      <c r="C11" s="133" t="s">
        <v>42</v>
      </c>
      <c r="D11" s="132">
        <v>36</v>
      </c>
      <c r="E11" s="159" t="s">
        <v>354</v>
      </c>
      <c r="F11" s="159"/>
      <c r="G11" s="159" t="s">
        <v>354</v>
      </c>
      <c r="H11" s="159"/>
      <c r="I11" s="159" t="s">
        <v>372</v>
      </c>
      <c r="J11" s="159"/>
      <c r="K11" s="159" t="s">
        <v>354</v>
      </c>
      <c r="L11" s="159"/>
      <c r="M11" s="159" t="s">
        <v>443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388</v>
      </c>
      <c r="E26" s="152"/>
      <c r="F26" s="114" t="s">
        <v>388</v>
      </c>
      <c r="G26" s="114" t="s">
        <v>388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c r="D3" s="168"/>
      <c r="E3" s="168"/>
      <c r="F3" s="168"/>
      <c r="G3" s="168"/>
      <c r="H3" s="168"/>
      <c r="I3" s="168"/>
      <c r="J3" s="168"/>
      <c r="K3" s="168"/>
      <c r="L3" s="168"/>
      <c r="M3" s="168"/>
      <c r="N3" s="168"/>
      <c r="P3" s="4">
        <v>6</v>
      </c>
      <c r="Q3" s="4">
        <v>10</v>
      </c>
      <c r="R3" s="2"/>
      <c r="S3" s="2"/>
    </row>
    <row r="4" spans="1:24" ht="13.5" customHeight="1">
      <c r="A4" s="161" t="s">
        <v>25</v>
      </c>
      <c r="B4" s="161"/>
      <c r="C4" s="162"/>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11"/>
      <c r="B9" s="111"/>
      <c r="C9" s="150"/>
      <c r="D9" s="150"/>
      <c r="E9" s="150"/>
      <c r="F9" s="150"/>
      <c r="G9" s="150"/>
      <c r="H9" s="150"/>
      <c r="I9" s="150"/>
      <c r="J9" s="150"/>
      <c r="K9" s="150"/>
      <c r="L9" s="150"/>
      <c r="M9" s="150"/>
      <c r="N9" s="150"/>
      <c r="P9" s="11"/>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5" t="s">
        <v>42</v>
      </c>
      <c r="D11" s="111">
        <v>36</v>
      </c>
      <c r="E11" s="159"/>
      <c r="F11" s="159"/>
      <c r="G11" s="159"/>
      <c r="H11" s="159"/>
      <c r="I11" s="159"/>
      <c r="J11" s="159"/>
      <c r="K11" s="159"/>
      <c r="L11" s="159"/>
      <c r="M11" s="159"/>
      <c r="N11" s="159"/>
      <c r="P11" s="4">
        <v>8</v>
      </c>
      <c r="Q11" s="16">
        <v>180</v>
      </c>
      <c r="R11" s="2"/>
      <c r="S11" s="2"/>
    </row>
    <row r="12" spans="1:24" ht="27" customHeight="1">
      <c r="A12" s="155" t="s">
        <v>175</v>
      </c>
      <c r="B12" s="155"/>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55"/>
      <c r="B13" s="155"/>
      <c r="C13" s="112"/>
      <c r="D13" s="112"/>
      <c r="E13" s="112"/>
      <c r="F13" s="112"/>
      <c r="G13" s="112"/>
      <c r="H13" s="112"/>
      <c r="I13" s="112"/>
      <c r="J13" s="112"/>
      <c r="K13" s="112"/>
      <c r="L13" s="112"/>
      <c r="M13" s="112"/>
      <c r="N13" s="112"/>
      <c r="P13" s="11"/>
      <c r="Q13" s="11" t="s">
        <v>21</v>
      </c>
      <c r="R13" s="11" t="s">
        <v>22</v>
      </c>
      <c r="S13" s="11"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1"/>
      <c r="U15" s="11"/>
      <c r="V15" s="11"/>
      <c r="W15" s="11"/>
      <c r="X15" s="11"/>
    </row>
    <row r="16" spans="1:24" ht="13.5" customHeight="1">
      <c r="A16" s="153" t="s">
        <v>117</v>
      </c>
      <c r="B16" s="153"/>
      <c r="C16" s="153"/>
      <c r="D16" s="153"/>
      <c r="E16" s="153"/>
      <c r="F16" s="153"/>
      <c r="G16" s="153"/>
      <c r="H16" s="157" t="s">
        <v>177</v>
      </c>
      <c r="I16" s="157"/>
      <c r="J16" s="157"/>
      <c r="K16" s="157"/>
      <c r="L16" s="157"/>
      <c r="M16" s="157"/>
      <c r="N16" s="157"/>
      <c r="P16" s="11">
        <v>2</v>
      </c>
      <c r="Q16" s="16">
        <v>32</v>
      </c>
      <c r="R16" s="2"/>
    </row>
    <row r="17" spans="1:24" ht="13.5" customHeight="1">
      <c r="A17" s="153" t="s">
        <v>44</v>
      </c>
      <c r="B17" s="153"/>
      <c r="C17" s="153"/>
      <c r="D17" s="21" t="s">
        <v>127</v>
      </c>
      <c r="E17" s="21" t="s">
        <v>125</v>
      </c>
      <c r="F17" s="21" t="s">
        <v>124</v>
      </c>
      <c r="G17" s="21" t="s">
        <v>126</v>
      </c>
      <c r="H17" s="153" t="s">
        <v>44</v>
      </c>
      <c r="I17" s="153"/>
      <c r="J17" s="153"/>
      <c r="K17" s="21" t="s">
        <v>127</v>
      </c>
      <c r="L17" s="21" t="s">
        <v>125</v>
      </c>
      <c r="M17" s="21" t="s">
        <v>124</v>
      </c>
      <c r="N17" s="21" t="s">
        <v>126</v>
      </c>
      <c r="P17" s="11">
        <v>2</v>
      </c>
      <c r="Q17" s="16">
        <v>6</v>
      </c>
      <c r="R17" s="2"/>
    </row>
    <row r="18" spans="1:24" ht="13.5" customHeight="1">
      <c r="A18" s="154"/>
      <c r="B18" s="154"/>
      <c r="C18" s="154"/>
      <c r="D18" s="113"/>
      <c r="E18" s="113"/>
      <c r="F18" s="113"/>
      <c r="G18" s="113"/>
      <c r="H18" s="154"/>
      <c r="I18" s="154"/>
      <c r="J18" s="154"/>
      <c r="K18" s="113"/>
      <c r="L18" s="113"/>
      <c r="M18" s="113"/>
      <c r="N18" s="113"/>
      <c r="P18" s="11" t="s">
        <v>45</v>
      </c>
      <c r="Q18" s="16" t="s">
        <v>46</v>
      </c>
      <c r="R18" s="5" t="s">
        <v>101</v>
      </c>
      <c r="S18" s="5" t="s">
        <v>122</v>
      </c>
      <c r="T18" s="22" t="s">
        <v>47</v>
      </c>
      <c r="U18" s="22" t="s">
        <v>165</v>
      </c>
    </row>
    <row r="19" spans="1:24" ht="13.5" customHeight="1">
      <c r="A19" s="154"/>
      <c r="B19" s="154"/>
      <c r="C19" s="154"/>
      <c r="D19" s="113"/>
      <c r="E19" s="113"/>
      <c r="F19" s="113"/>
      <c r="G19" s="113"/>
      <c r="H19" s="154"/>
      <c r="I19" s="154"/>
      <c r="J19" s="154"/>
      <c r="K19" s="113"/>
      <c r="L19" s="113"/>
      <c r="M19" s="113"/>
      <c r="N19" s="113"/>
      <c r="P19" s="11" t="s">
        <v>109</v>
      </c>
      <c r="Q19" s="5" t="s">
        <v>110</v>
      </c>
      <c r="R19" s="22" t="s">
        <v>165</v>
      </c>
      <c r="S19" s="2"/>
    </row>
    <row r="20" spans="1:24" ht="13.5" customHeight="1">
      <c r="A20" s="154"/>
      <c r="B20" s="154"/>
      <c r="C20" s="154"/>
      <c r="D20" s="113"/>
      <c r="E20" s="113"/>
      <c r="F20" s="113"/>
      <c r="G20" s="113"/>
      <c r="H20" s="154"/>
      <c r="I20" s="154"/>
      <c r="J20" s="154"/>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54"/>
      <c r="B21" s="154"/>
      <c r="C21" s="154"/>
      <c r="D21" s="113"/>
      <c r="E21" s="113"/>
      <c r="F21" s="113"/>
      <c r="G21" s="113"/>
      <c r="H21" s="154"/>
      <c r="I21" s="154"/>
      <c r="J21" s="154"/>
      <c r="K21" s="113"/>
      <c r="L21" s="113"/>
      <c r="M21" s="113"/>
      <c r="N21" s="113"/>
      <c r="Q21" s="16"/>
      <c r="R21" s="2"/>
      <c r="S21" s="2"/>
    </row>
    <row r="22" spans="1:24" ht="13.5" customHeight="1">
      <c r="A22" s="154"/>
      <c r="B22" s="154"/>
      <c r="C22" s="154"/>
      <c r="D22" s="113"/>
      <c r="E22" s="113"/>
      <c r="F22" s="113"/>
      <c r="G22" s="113"/>
      <c r="H22" s="154"/>
      <c r="I22" s="154"/>
      <c r="J22" s="154"/>
      <c r="K22" s="113"/>
      <c r="L22" s="113"/>
      <c r="M22" s="113"/>
      <c r="N22" s="113"/>
      <c r="R22" s="2"/>
      <c r="S22" s="2"/>
    </row>
    <row r="23" spans="1:24" ht="13.5" customHeight="1">
      <c r="A23" s="154"/>
      <c r="B23" s="154"/>
      <c r="C23" s="154"/>
      <c r="D23" s="113"/>
      <c r="E23" s="113"/>
      <c r="F23" s="113"/>
      <c r="G23" s="113"/>
      <c r="H23" s="154"/>
      <c r="I23" s="154"/>
      <c r="J23" s="154"/>
      <c r="K23" s="113"/>
      <c r="L23" s="113"/>
      <c r="M23" s="113"/>
      <c r="N23" s="113"/>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21" t="s">
        <v>7</v>
      </c>
      <c r="G25" s="21" t="s">
        <v>128</v>
      </c>
      <c r="H25" s="21" t="s">
        <v>7</v>
      </c>
      <c r="I25" s="21" t="s">
        <v>128</v>
      </c>
      <c r="J25" s="21" t="s">
        <v>43</v>
      </c>
      <c r="K25" s="21" t="s">
        <v>104</v>
      </c>
      <c r="L25" s="21" t="s">
        <v>48</v>
      </c>
      <c r="M25" s="2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c r="E26" s="152"/>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8">
        <v>1</v>
      </c>
      <c r="D28" s="151"/>
      <c r="E28" s="151"/>
      <c r="F28" s="151"/>
      <c r="G28" s="151"/>
      <c r="H28" s="151"/>
      <c r="I28" s="151"/>
      <c r="J28" s="151"/>
      <c r="K28" s="151"/>
      <c r="L28" s="151"/>
      <c r="M28" s="151"/>
      <c r="N28" s="151"/>
      <c r="P28" s="4">
        <v>0</v>
      </c>
      <c r="Q28" s="5">
        <v>85</v>
      </c>
      <c r="R28" s="2"/>
      <c r="S28" s="2"/>
    </row>
    <row r="29" spans="1:24" ht="13.5" customHeight="1">
      <c r="A29" s="150"/>
      <c r="B29" s="150"/>
      <c r="C29" s="18">
        <v>2</v>
      </c>
      <c r="D29" s="151"/>
      <c r="E29" s="151"/>
      <c r="F29" s="151"/>
      <c r="G29" s="151"/>
      <c r="H29" s="151"/>
      <c r="I29" s="151"/>
      <c r="J29" s="151"/>
      <c r="K29" s="151"/>
      <c r="L29" s="151"/>
      <c r="M29" s="151"/>
      <c r="N29" s="151"/>
    </row>
    <row r="30" spans="1:24" ht="13.5" customHeight="1">
      <c r="A30" s="150"/>
      <c r="B30" s="150"/>
      <c r="C30" s="18">
        <v>3</v>
      </c>
      <c r="D30" s="151"/>
      <c r="E30" s="151"/>
      <c r="F30" s="151"/>
      <c r="G30" s="151"/>
      <c r="H30" s="151"/>
      <c r="I30" s="151"/>
      <c r="J30" s="151"/>
      <c r="K30" s="151"/>
      <c r="L30" s="151"/>
      <c r="M30" s="151"/>
      <c r="N30" s="151"/>
    </row>
    <row r="31" spans="1:24" ht="13.5" customHeight="1">
      <c r="A31" s="150"/>
      <c r="B31" s="150"/>
      <c r="C31" s="18">
        <v>4</v>
      </c>
      <c r="D31" s="151"/>
      <c r="E31" s="151"/>
      <c r="F31" s="151"/>
      <c r="G31" s="151"/>
      <c r="H31" s="151"/>
      <c r="I31" s="151"/>
      <c r="J31" s="151"/>
      <c r="K31" s="151"/>
      <c r="L31" s="151"/>
      <c r="M31" s="151"/>
      <c r="N31" s="151"/>
    </row>
    <row r="32" spans="1:24" ht="13.5" customHeight="1">
      <c r="A32" s="150"/>
      <c r="B32" s="150"/>
      <c r="C32" s="18">
        <v>5</v>
      </c>
      <c r="D32" s="151"/>
      <c r="E32" s="151"/>
      <c r="F32" s="151"/>
      <c r="G32" s="151"/>
      <c r="H32" s="151"/>
      <c r="I32" s="151"/>
      <c r="J32" s="151"/>
      <c r="K32" s="151"/>
      <c r="L32" s="151"/>
      <c r="M32" s="151"/>
      <c r="N32" s="151"/>
      <c r="P32" s="2"/>
      <c r="Q32" s="2"/>
      <c r="R32" s="2"/>
      <c r="S32" s="2"/>
    </row>
    <row r="33" spans="1:19" ht="13.5" customHeight="1">
      <c r="A33" s="150"/>
      <c r="B33" s="150"/>
      <c r="C33" s="18">
        <v>6</v>
      </c>
      <c r="D33" s="151"/>
      <c r="E33" s="151"/>
      <c r="F33" s="151"/>
      <c r="G33" s="151"/>
      <c r="H33" s="151"/>
      <c r="I33" s="151"/>
      <c r="J33" s="151"/>
      <c r="K33" s="151"/>
      <c r="L33" s="151"/>
      <c r="M33" s="151"/>
      <c r="N33" s="151"/>
      <c r="R33" s="2"/>
      <c r="S33" s="2"/>
    </row>
    <row r="34" spans="1:19" ht="13.5" customHeight="1">
      <c r="A34" s="150"/>
      <c r="B34" s="150"/>
      <c r="C34" s="18">
        <v>7</v>
      </c>
      <c r="D34" s="151"/>
      <c r="E34" s="151"/>
      <c r="F34" s="151"/>
      <c r="G34" s="151"/>
      <c r="H34" s="151"/>
      <c r="I34" s="151"/>
      <c r="J34" s="151"/>
      <c r="K34" s="151"/>
      <c r="L34" s="151"/>
      <c r="M34" s="151"/>
      <c r="N34" s="151"/>
      <c r="R34" s="2"/>
      <c r="S34" s="2"/>
    </row>
    <row r="35" spans="1:19" ht="13.5" customHeight="1">
      <c r="A35" s="150"/>
      <c r="B35" s="150"/>
      <c r="C35" s="18">
        <v>8</v>
      </c>
      <c r="D35" s="151"/>
      <c r="E35" s="151"/>
      <c r="F35" s="151"/>
      <c r="G35" s="151"/>
      <c r="H35" s="151"/>
      <c r="I35" s="151"/>
      <c r="J35" s="151"/>
      <c r="K35" s="151"/>
      <c r="L35" s="151"/>
      <c r="M35" s="151"/>
      <c r="N35" s="151"/>
      <c r="R35" s="2"/>
      <c r="S35" s="2"/>
    </row>
    <row r="36" spans="1:19" ht="13.5" customHeight="1">
      <c r="A36" s="150"/>
      <c r="B36" s="150"/>
      <c r="C36" s="18">
        <v>9</v>
      </c>
      <c r="D36" s="151"/>
      <c r="E36" s="151"/>
      <c r="F36" s="151"/>
      <c r="G36" s="151"/>
      <c r="H36" s="151"/>
      <c r="I36" s="151"/>
      <c r="J36" s="151"/>
      <c r="K36" s="151"/>
      <c r="L36" s="151"/>
      <c r="M36" s="151"/>
      <c r="N36" s="151"/>
      <c r="R36" s="2"/>
      <c r="S36" s="2"/>
    </row>
    <row r="37" spans="1:19" ht="13.5" customHeight="1">
      <c r="A37" s="150"/>
      <c r="B37" s="150"/>
      <c r="C37" s="18">
        <v>10</v>
      </c>
      <c r="D37" s="151"/>
      <c r="E37" s="151"/>
      <c r="F37" s="151"/>
      <c r="G37" s="151"/>
      <c r="H37" s="151"/>
      <c r="I37" s="151"/>
      <c r="J37" s="151"/>
      <c r="K37" s="151"/>
      <c r="L37" s="151"/>
      <c r="M37" s="151"/>
      <c r="N37" s="151"/>
      <c r="R37" s="2"/>
      <c r="S37" s="2"/>
    </row>
    <row r="38" spans="1:19" ht="13.5" customHeight="1">
      <c r="A38" s="150"/>
      <c r="B38" s="150"/>
      <c r="C38" s="18">
        <v>11</v>
      </c>
      <c r="D38" s="151"/>
      <c r="E38" s="151"/>
      <c r="F38" s="151"/>
      <c r="G38" s="151"/>
      <c r="H38" s="151"/>
      <c r="I38" s="151"/>
      <c r="J38" s="151"/>
      <c r="K38" s="151"/>
      <c r="L38" s="151"/>
      <c r="M38" s="151"/>
      <c r="N38" s="151"/>
      <c r="R38" s="2"/>
      <c r="S38" s="2"/>
    </row>
    <row r="39" spans="1:19" ht="13.5" customHeight="1">
      <c r="A39" s="150"/>
      <c r="B39" s="150"/>
      <c r="C39" s="18">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8">
        <v>1</v>
      </c>
      <c r="D41" s="151"/>
      <c r="E41" s="151"/>
      <c r="F41" s="151"/>
      <c r="G41" s="151"/>
      <c r="H41" s="151"/>
      <c r="I41" s="151"/>
      <c r="J41" s="151"/>
      <c r="K41" s="151"/>
      <c r="L41" s="151"/>
      <c r="M41" s="151"/>
      <c r="N41" s="151"/>
      <c r="P41" s="4">
        <v>0</v>
      </c>
      <c r="Q41" s="5">
        <v>85</v>
      </c>
      <c r="R41" s="2"/>
      <c r="S41" s="2"/>
    </row>
    <row r="42" spans="1:19" ht="13.5" customHeight="1">
      <c r="A42" s="150"/>
      <c r="B42" s="150"/>
      <c r="C42" s="18">
        <v>2</v>
      </c>
      <c r="D42" s="151"/>
      <c r="E42" s="151"/>
      <c r="F42" s="151"/>
      <c r="G42" s="151"/>
      <c r="H42" s="151"/>
      <c r="I42" s="151"/>
      <c r="J42" s="151"/>
      <c r="K42" s="151"/>
      <c r="L42" s="151"/>
      <c r="M42" s="151"/>
      <c r="N42" s="151"/>
      <c r="Q42" s="5"/>
      <c r="R42" s="2"/>
      <c r="S42" s="2"/>
    </row>
    <row r="43" spans="1:19" ht="13.5" customHeight="1">
      <c r="A43" s="150"/>
      <c r="B43" s="150"/>
      <c r="C43" s="18">
        <v>3</v>
      </c>
      <c r="D43" s="151"/>
      <c r="E43" s="151"/>
      <c r="F43" s="151"/>
      <c r="G43" s="151"/>
      <c r="H43" s="151"/>
      <c r="I43" s="151"/>
      <c r="J43" s="151"/>
      <c r="K43" s="151"/>
      <c r="L43" s="151"/>
      <c r="M43" s="151"/>
      <c r="N43" s="151"/>
      <c r="R43" s="2"/>
      <c r="S43" s="2"/>
    </row>
    <row r="44" spans="1:19" ht="13.5" customHeight="1">
      <c r="A44" s="150"/>
      <c r="B44" s="150"/>
      <c r="C44" s="18">
        <v>4</v>
      </c>
      <c r="D44" s="151"/>
      <c r="E44" s="151"/>
      <c r="F44" s="151"/>
      <c r="G44" s="151"/>
      <c r="H44" s="151"/>
      <c r="I44" s="151"/>
      <c r="J44" s="151"/>
      <c r="K44" s="151"/>
      <c r="L44" s="151"/>
      <c r="M44" s="151"/>
      <c r="N44" s="151"/>
      <c r="R44" s="2"/>
      <c r="S44" s="2"/>
    </row>
    <row r="45" spans="1:19" ht="13.5" customHeight="1">
      <c r="A45" s="150" t="s">
        <v>179</v>
      </c>
      <c r="B45" s="150"/>
      <c r="C45" s="18" t="s">
        <v>98</v>
      </c>
      <c r="D45" s="150" t="s">
        <v>37</v>
      </c>
      <c r="E45" s="150"/>
      <c r="F45" s="150"/>
      <c r="G45" s="150"/>
      <c r="H45" s="150"/>
      <c r="I45" s="150"/>
      <c r="J45" s="150"/>
      <c r="K45" s="150"/>
      <c r="L45" s="150"/>
      <c r="M45" s="150"/>
      <c r="N45" s="150"/>
      <c r="S45" s="2"/>
    </row>
    <row r="46" spans="1:19" ht="13.5" customHeight="1">
      <c r="A46" s="150"/>
      <c r="B46" s="150"/>
      <c r="C46" s="112"/>
      <c r="D46" s="18">
        <v>1</v>
      </c>
      <c r="E46" s="148"/>
      <c r="F46" s="148"/>
      <c r="G46" s="148"/>
      <c r="H46" s="148"/>
      <c r="I46" s="148"/>
      <c r="J46" s="148"/>
      <c r="K46" s="148"/>
      <c r="L46" s="148"/>
      <c r="M46" s="148"/>
      <c r="N46" s="148"/>
      <c r="P46" s="4">
        <v>0</v>
      </c>
      <c r="Q46" s="5">
        <v>70</v>
      </c>
      <c r="R46" s="31" t="s">
        <v>33</v>
      </c>
      <c r="S46" s="2"/>
    </row>
    <row r="47" spans="1:19" ht="13.5" customHeight="1">
      <c r="A47" s="150"/>
      <c r="B47" s="150"/>
      <c r="C47" s="112"/>
      <c r="D47" s="18">
        <v>2</v>
      </c>
      <c r="E47" s="148"/>
      <c r="F47" s="148"/>
      <c r="G47" s="148"/>
      <c r="H47" s="148"/>
      <c r="I47" s="148"/>
      <c r="J47" s="148"/>
      <c r="K47" s="148"/>
      <c r="L47" s="148"/>
      <c r="M47" s="148"/>
      <c r="N47" s="148"/>
      <c r="R47" s="31" t="s">
        <v>34</v>
      </c>
      <c r="S47" s="2"/>
    </row>
    <row r="48" spans="1:19" ht="13.5" customHeight="1">
      <c r="A48" s="150"/>
      <c r="B48" s="150"/>
      <c r="C48" s="112"/>
      <c r="D48" s="18">
        <v>3</v>
      </c>
      <c r="E48" s="148"/>
      <c r="F48" s="148"/>
      <c r="G48" s="148"/>
      <c r="H48" s="148"/>
      <c r="I48" s="148"/>
      <c r="J48" s="148"/>
      <c r="K48" s="148"/>
      <c r="L48" s="148"/>
      <c r="M48" s="148"/>
      <c r="N48" s="148"/>
      <c r="R48" s="31" t="s">
        <v>35</v>
      </c>
      <c r="S48" s="2"/>
    </row>
    <row r="49" spans="1:19" ht="13.5" customHeight="1">
      <c r="A49" s="150"/>
      <c r="B49" s="150"/>
      <c r="C49" s="112"/>
      <c r="D49" s="18">
        <v>4</v>
      </c>
      <c r="E49" s="148"/>
      <c r="F49" s="148"/>
      <c r="G49" s="148"/>
      <c r="H49" s="148"/>
      <c r="I49" s="148"/>
      <c r="J49" s="148"/>
      <c r="K49" s="148"/>
      <c r="L49" s="148"/>
      <c r="M49" s="148"/>
      <c r="N49" s="148"/>
      <c r="R49" s="32" t="s">
        <v>36</v>
      </c>
      <c r="S49" s="2"/>
    </row>
    <row r="50" spans="1:19" ht="13.5" customHeight="1">
      <c r="A50" s="150"/>
      <c r="B50" s="150"/>
      <c r="C50" s="112"/>
      <c r="D50" s="18">
        <v>5</v>
      </c>
      <c r="E50" s="148"/>
      <c r="F50" s="148"/>
      <c r="G50" s="148"/>
      <c r="H50" s="148"/>
      <c r="I50" s="148"/>
      <c r="J50" s="148"/>
      <c r="K50" s="148"/>
      <c r="L50" s="148"/>
      <c r="M50" s="148"/>
      <c r="N50" s="148"/>
      <c r="R50" s="33" t="s">
        <v>0</v>
      </c>
      <c r="S50" s="2"/>
    </row>
    <row r="51" spans="1:19" ht="13.5" customHeight="1">
      <c r="A51" s="150"/>
      <c r="B51" s="150"/>
      <c r="C51" s="112"/>
      <c r="D51" s="18">
        <v>6</v>
      </c>
      <c r="E51" s="148"/>
      <c r="F51" s="148"/>
      <c r="G51" s="148"/>
      <c r="H51" s="148"/>
      <c r="I51" s="148"/>
      <c r="J51" s="148"/>
      <c r="K51" s="148"/>
      <c r="L51" s="148"/>
      <c r="M51" s="148"/>
      <c r="N51" s="148"/>
      <c r="S51" s="2"/>
    </row>
    <row r="52" spans="1:19" ht="13.5" customHeight="1">
      <c r="A52" s="150"/>
      <c r="B52" s="150"/>
      <c r="C52" s="112"/>
      <c r="D52" s="18">
        <v>7</v>
      </c>
      <c r="E52" s="148"/>
      <c r="F52" s="148"/>
      <c r="G52" s="148"/>
      <c r="H52" s="148"/>
      <c r="I52" s="148"/>
      <c r="J52" s="148"/>
      <c r="K52" s="148"/>
      <c r="L52" s="148"/>
      <c r="M52" s="148"/>
      <c r="N52" s="148"/>
      <c r="S52" s="2"/>
    </row>
    <row r="53" spans="1:19" ht="13.5" customHeight="1">
      <c r="A53" s="150"/>
      <c r="B53" s="150"/>
      <c r="C53" s="112"/>
      <c r="D53" s="18">
        <v>8</v>
      </c>
      <c r="E53" s="148"/>
      <c r="F53" s="148"/>
      <c r="G53" s="148"/>
      <c r="H53" s="148"/>
      <c r="I53" s="148"/>
      <c r="J53" s="148"/>
      <c r="K53" s="148"/>
      <c r="L53" s="148"/>
      <c r="M53" s="148"/>
      <c r="N53" s="148"/>
      <c r="S53" s="2"/>
    </row>
    <row r="54" spans="1:19" ht="13.5" customHeight="1">
      <c r="A54" s="150"/>
      <c r="B54" s="150"/>
      <c r="C54" s="112"/>
      <c r="D54" s="18">
        <v>9</v>
      </c>
      <c r="E54" s="148"/>
      <c r="F54" s="148"/>
      <c r="G54" s="148"/>
      <c r="H54" s="148"/>
      <c r="I54" s="148"/>
      <c r="J54" s="148"/>
      <c r="K54" s="148"/>
      <c r="L54" s="148"/>
      <c r="M54" s="148"/>
      <c r="N54" s="148"/>
      <c r="S54" s="2"/>
    </row>
    <row r="55" spans="1:19" ht="13.5" customHeight="1">
      <c r="A55" s="150"/>
      <c r="B55" s="150"/>
      <c r="C55" s="112"/>
      <c r="D55" s="18">
        <v>10</v>
      </c>
      <c r="E55" s="148"/>
      <c r="F55" s="148"/>
      <c r="G55" s="148"/>
      <c r="H55" s="148"/>
      <c r="I55" s="148"/>
      <c r="J55" s="148"/>
      <c r="K55" s="148"/>
      <c r="L55" s="148"/>
      <c r="M55" s="148"/>
      <c r="N55" s="148"/>
      <c r="S55" s="2"/>
    </row>
    <row r="56" spans="1:19" ht="13.5" customHeight="1">
      <c r="A56" s="150"/>
      <c r="B56" s="150"/>
      <c r="C56" s="112"/>
      <c r="D56" s="18">
        <v>11</v>
      </c>
      <c r="E56" s="148"/>
      <c r="F56" s="148"/>
      <c r="G56" s="148"/>
      <c r="H56" s="148"/>
      <c r="I56" s="148"/>
      <c r="J56" s="148"/>
      <c r="K56" s="148"/>
      <c r="L56" s="148"/>
      <c r="M56" s="148"/>
      <c r="N56" s="148"/>
      <c r="S56" s="2"/>
    </row>
    <row r="57" spans="1:19" ht="13.5" customHeight="1">
      <c r="A57" s="150"/>
      <c r="B57" s="150"/>
      <c r="C57" s="112"/>
      <c r="D57" s="18">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9" t="s">
        <v>316</v>
      </c>
      <c r="B1" s="169"/>
      <c r="C1" s="169"/>
      <c r="D1" s="169"/>
      <c r="E1" s="169"/>
      <c r="F1" s="169"/>
      <c r="G1" s="169"/>
      <c r="H1" s="169"/>
      <c r="I1" s="169"/>
      <c r="J1" s="169"/>
      <c r="K1" s="169"/>
      <c r="L1" s="169"/>
      <c r="M1" s="169"/>
      <c r="N1" s="169"/>
      <c r="P1" s="167" t="s">
        <v>317</v>
      </c>
      <c r="Q1" s="167"/>
      <c r="R1" s="167"/>
      <c r="S1" s="167"/>
      <c r="T1" s="167"/>
      <c r="U1" s="167"/>
      <c r="V1" s="167"/>
      <c r="W1" s="167"/>
      <c r="X1" s="167"/>
    </row>
    <row r="2" spans="1:24" s="3" customFormat="1" ht="54" customHeight="1">
      <c r="A2" s="170" t="s">
        <v>318</v>
      </c>
      <c r="B2" s="170"/>
      <c r="C2" s="170" t="s">
        <v>319</v>
      </c>
      <c r="D2" s="170"/>
      <c r="E2" s="170"/>
      <c r="F2" s="170"/>
      <c r="G2" s="170"/>
      <c r="H2" s="170"/>
      <c r="I2" s="170"/>
      <c r="J2" s="170"/>
      <c r="K2" s="170"/>
      <c r="L2" s="170"/>
      <c r="M2" s="170"/>
      <c r="N2" s="170"/>
      <c r="P2" s="167"/>
      <c r="Q2" s="167"/>
      <c r="R2" s="167"/>
      <c r="S2" s="167"/>
      <c r="T2" s="167"/>
      <c r="U2" s="167"/>
      <c r="V2" s="167"/>
      <c r="W2" s="167"/>
      <c r="X2" s="167"/>
    </row>
    <row r="3" spans="1:24" ht="13.5" customHeight="1">
      <c r="A3" s="171" t="s">
        <v>320</v>
      </c>
      <c r="B3" s="171"/>
      <c r="C3" s="172"/>
      <c r="D3" s="172"/>
      <c r="E3" s="172"/>
      <c r="F3" s="172"/>
      <c r="G3" s="172"/>
      <c r="H3" s="172"/>
      <c r="I3" s="172"/>
      <c r="J3" s="172"/>
      <c r="K3" s="172"/>
      <c r="L3" s="172"/>
      <c r="M3" s="172"/>
      <c r="N3" s="172"/>
      <c r="P3" s="4">
        <v>6</v>
      </c>
      <c r="Q3" s="4">
        <v>10</v>
      </c>
      <c r="R3" s="2"/>
      <c r="S3" s="2"/>
    </row>
    <row r="4" spans="1:24" ht="13.5" customHeight="1">
      <c r="A4" s="174" t="s">
        <v>100</v>
      </c>
      <c r="B4" s="174"/>
      <c r="C4" s="175"/>
      <c r="D4" s="175"/>
      <c r="E4" s="175"/>
      <c r="F4" s="175"/>
      <c r="G4" s="175"/>
      <c r="H4" s="175"/>
      <c r="I4" s="175"/>
      <c r="J4" s="175"/>
      <c r="K4" s="175"/>
      <c r="L4" s="175"/>
      <c r="M4" s="175"/>
      <c r="N4" s="175"/>
      <c r="P4" s="4">
        <v>8</v>
      </c>
      <c r="Q4" s="5">
        <v>85</v>
      </c>
      <c r="R4" s="2"/>
      <c r="S4" s="2"/>
    </row>
    <row r="5" spans="1:24" s="6" customFormat="1" ht="13.5" customHeight="1">
      <c r="A5" s="171" t="s">
        <v>321</v>
      </c>
      <c r="B5" s="171"/>
      <c r="C5" s="176"/>
      <c r="D5" s="176"/>
      <c r="E5" s="176"/>
      <c r="F5" s="176"/>
      <c r="G5" s="176"/>
      <c r="H5" s="176"/>
      <c r="I5" s="176"/>
      <c r="J5" s="176"/>
      <c r="K5" s="176"/>
      <c r="L5" s="176"/>
      <c r="M5" s="176"/>
      <c r="N5" s="176"/>
      <c r="P5" s="7">
        <v>8</v>
      </c>
      <c r="Q5" s="5">
        <v>85</v>
      </c>
    </row>
    <row r="6" spans="1:24" ht="13.5" customHeight="1">
      <c r="A6" s="177" t="s">
        <v>322</v>
      </c>
      <c r="B6" s="177"/>
      <c r="C6" s="178"/>
      <c r="D6" s="178"/>
      <c r="E6" s="178"/>
      <c r="F6" s="178"/>
      <c r="G6" s="178"/>
      <c r="H6" s="178"/>
      <c r="I6" s="178"/>
      <c r="J6" s="178"/>
      <c r="K6" s="178"/>
      <c r="L6" s="178"/>
      <c r="M6" s="178"/>
      <c r="N6" s="178"/>
      <c r="P6" s="4">
        <v>8</v>
      </c>
      <c r="Q6" s="5">
        <v>85</v>
      </c>
      <c r="R6" s="2"/>
      <c r="S6" s="2"/>
    </row>
    <row r="7" spans="1:24" ht="13.5" customHeight="1">
      <c r="A7" s="179" t="s">
        <v>76</v>
      </c>
      <c r="B7" s="179"/>
      <c r="C7" s="179"/>
      <c r="D7" s="179"/>
      <c r="E7" s="179"/>
      <c r="F7" s="179"/>
      <c r="G7" s="179"/>
      <c r="H7" s="179"/>
      <c r="I7" s="179"/>
      <c r="J7" s="179"/>
      <c r="K7" s="179"/>
      <c r="L7" s="179"/>
      <c r="M7" s="179"/>
      <c r="N7" s="179"/>
      <c r="P7" s="8"/>
      <c r="R7" s="2"/>
      <c r="S7" s="2"/>
    </row>
    <row r="8" spans="1:24" ht="13.5" customHeight="1">
      <c r="A8" s="180" t="s">
        <v>323</v>
      </c>
      <c r="B8" s="180"/>
      <c r="C8" s="180" t="s">
        <v>324</v>
      </c>
      <c r="D8" s="180"/>
      <c r="E8" s="180" t="s">
        <v>77</v>
      </c>
      <c r="F8" s="180"/>
      <c r="G8" s="180" t="s">
        <v>78</v>
      </c>
      <c r="H8" s="180"/>
      <c r="I8" s="180" t="s">
        <v>79</v>
      </c>
      <c r="J8" s="180"/>
      <c r="K8" s="180" t="s">
        <v>80</v>
      </c>
      <c r="L8" s="180"/>
      <c r="M8" s="180" t="s">
        <v>81</v>
      </c>
      <c r="N8" s="180"/>
      <c r="P8" s="8"/>
      <c r="Q8" s="9"/>
      <c r="R8" s="2"/>
      <c r="S8" s="2"/>
      <c r="T8" s="10"/>
    </row>
    <row r="9" spans="1:24" ht="13.5" customHeight="1">
      <c r="A9" s="115"/>
      <c r="B9" s="115"/>
      <c r="C9" s="180"/>
      <c r="D9" s="180"/>
      <c r="E9" s="180"/>
      <c r="F9" s="180"/>
      <c r="G9" s="180"/>
      <c r="H9" s="180"/>
      <c r="I9" s="180"/>
      <c r="J9" s="180"/>
      <c r="K9" s="180"/>
      <c r="L9" s="180"/>
      <c r="M9" s="180"/>
      <c r="N9" s="180"/>
      <c r="P9" s="105"/>
      <c r="Q9" s="12" t="s">
        <v>23</v>
      </c>
      <c r="R9" s="13"/>
      <c r="S9" s="12" t="s">
        <v>41</v>
      </c>
      <c r="T9" s="12" t="s">
        <v>40</v>
      </c>
    </row>
    <row r="10" spans="1:24" ht="13.5" customHeight="1">
      <c r="A10" s="180" t="s">
        <v>180</v>
      </c>
      <c r="B10" s="180" t="s">
        <v>325</v>
      </c>
      <c r="C10" s="171" t="s">
        <v>82</v>
      </c>
      <c r="D10" s="171"/>
      <c r="E10" s="173">
        <f>$E$11/$D$11</f>
        <v>0</v>
      </c>
      <c r="F10" s="173"/>
      <c r="G10" s="173">
        <f>$G$11/$D$11</f>
        <v>0</v>
      </c>
      <c r="H10" s="173"/>
      <c r="I10" s="173">
        <f>$I$11/$D$11</f>
        <v>0</v>
      </c>
      <c r="J10" s="173"/>
      <c r="K10" s="173">
        <f>$K$11/$D$11</f>
        <v>0</v>
      </c>
      <c r="L10" s="173"/>
      <c r="M10" s="173">
        <f>$M$11/$D$11</f>
        <v>0</v>
      </c>
      <c r="N10" s="173"/>
      <c r="P10" s="14">
        <v>0</v>
      </c>
      <c r="Q10" s="14">
        <v>1</v>
      </c>
      <c r="R10" s="2"/>
      <c r="S10" s="2"/>
      <c r="T10" s="10"/>
    </row>
    <row r="11" spans="1:24" ht="13.5" customHeight="1">
      <c r="A11" s="180"/>
      <c r="B11" s="180"/>
      <c r="C11" s="107" t="s">
        <v>326</v>
      </c>
      <c r="D11" s="115">
        <v>36</v>
      </c>
      <c r="E11" s="183"/>
      <c r="F11" s="183"/>
      <c r="G11" s="183"/>
      <c r="H11" s="183"/>
      <c r="I11" s="183"/>
      <c r="J11" s="183"/>
      <c r="K11" s="183"/>
      <c r="L11" s="183"/>
      <c r="M11" s="183"/>
      <c r="N11" s="183"/>
      <c r="P11" s="4">
        <v>8</v>
      </c>
      <c r="Q11" s="16">
        <v>180</v>
      </c>
      <c r="R11" s="2"/>
      <c r="S11" s="2"/>
    </row>
    <row r="12" spans="1:24" ht="27" customHeight="1">
      <c r="A12" s="171" t="s">
        <v>327</v>
      </c>
      <c r="B12" s="171"/>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71"/>
      <c r="B13" s="171"/>
      <c r="C13" s="116"/>
      <c r="D13" s="116"/>
      <c r="E13" s="116"/>
      <c r="F13" s="116"/>
      <c r="G13" s="116"/>
      <c r="H13" s="116"/>
      <c r="I13" s="116"/>
      <c r="J13" s="116"/>
      <c r="K13" s="116"/>
      <c r="L13" s="116"/>
      <c r="M13" s="116"/>
      <c r="N13" s="116"/>
      <c r="P13" s="105"/>
      <c r="Q13" s="105" t="s">
        <v>21</v>
      </c>
      <c r="R13" s="105" t="s">
        <v>22</v>
      </c>
      <c r="S13" s="105" t="s">
        <v>32</v>
      </c>
    </row>
    <row r="14" spans="1:24" ht="13.5" customHeight="1">
      <c r="A14" s="170" t="s">
        <v>91</v>
      </c>
      <c r="B14" s="170"/>
      <c r="C14" s="170"/>
      <c r="D14" s="170"/>
      <c r="E14" s="170"/>
      <c r="F14" s="170"/>
      <c r="G14" s="170"/>
      <c r="H14" s="170"/>
      <c r="I14" s="170"/>
      <c r="J14" s="170"/>
      <c r="K14" s="170"/>
      <c r="L14" s="170"/>
      <c r="M14" s="170"/>
      <c r="N14" s="170"/>
    </row>
    <row r="15" spans="1:24" s="20" customFormat="1" ht="13.5" customHeight="1">
      <c r="A15" s="170" t="s">
        <v>329</v>
      </c>
      <c r="B15" s="170"/>
      <c r="C15" s="170"/>
      <c r="D15" s="170"/>
      <c r="E15" s="170"/>
      <c r="F15" s="170"/>
      <c r="G15" s="170"/>
      <c r="H15" s="170"/>
      <c r="I15" s="170"/>
      <c r="J15" s="170"/>
      <c r="K15" s="170"/>
      <c r="L15" s="170"/>
      <c r="M15" s="170"/>
      <c r="N15" s="170"/>
      <c r="T15" s="105"/>
      <c r="U15" s="105"/>
      <c r="V15" s="105"/>
      <c r="W15" s="105"/>
      <c r="X15" s="105"/>
    </row>
    <row r="16" spans="1:24" ht="13.5" customHeight="1">
      <c r="A16" s="181" t="s">
        <v>350</v>
      </c>
      <c r="B16" s="181"/>
      <c r="C16" s="181"/>
      <c r="D16" s="181"/>
      <c r="E16" s="181"/>
      <c r="F16" s="181"/>
      <c r="G16" s="181"/>
      <c r="H16" s="182" t="s">
        <v>351</v>
      </c>
      <c r="I16" s="182"/>
      <c r="J16" s="182"/>
      <c r="K16" s="182"/>
      <c r="L16" s="182"/>
      <c r="M16" s="182"/>
      <c r="N16" s="182"/>
      <c r="P16" s="105">
        <v>2</v>
      </c>
      <c r="Q16" s="16">
        <v>32</v>
      </c>
      <c r="R16" s="2"/>
      <c r="S16" s="34"/>
      <c r="T16" s="34"/>
      <c r="U16" s="34"/>
      <c r="V16" s="34"/>
      <c r="W16" s="34"/>
      <c r="X16" s="34"/>
    </row>
    <row r="17" spans="1:24" ht="13.5" customHeight="1">
      <c r="A17" s="181" t="s">
        <v>121</v>
      </c>
      <c r="B17" s="181"/>
      <c r="C17" s="181"/>
      <c r="D17" s="110" t="s">
        <v>106</v>
      </c>
      <c r="E17" s="110" t="s">
        <v>105</v>
      </c>
      <c r="F17" s="110" t="s">
        <v>330</v>
      </c>
      <c r="G17" s="110" t="s">
        <v>331</v>
      </c>
      <c r="H17" s="181" t="s">
        <v>121</v>
      </c>
      <c r="I17" s="181"/>
      <c r="J17" s="181"/>
      <c r="K17" s="110" t="s">
        <v>106</v>
      </c>
      <c r="L17" s="110" t="s">
        <v>105</v>
      </c>
      <c r="M17" s="110" t="s">
        <v>330</v>
      </c>
      <c r="N17" s="110" t="s">
        <v>331</v>
      </c>
      <c r="P17" s="105">
        <v>2</v>
      </c>
      <c r="Q17" s="16">
        <v>6</v>
      </c>
      <c r="R17" s="2"/>
    </row>
    <row r="18" spans="1:24" ht="13.5" customHeight="1">
      <c r="A18" s="184"/>
      <c r="B18" s="184"/>
      <c r="C18" s="184"/>
      <c r="D18" s="117"/>
      <c r="E18" s="117"/>
      <c r="F18" s="117"/>
      <c r="G18" s="117"/>
      <c r="H18" s="184"/>
      <c r="I18" s="184"/>
      <c r="J18" s="184"/>
      <c r="K18" s="117"/>
      <c r="L18" s="117"/>
      <c r="M18" s="117"/>
      <c r="N18" s="117"/>
      <c r="P18" s="105" t="s">
        <v>45</v>
      </c>
      <c r="Q18" s="16" t="s">
        <v>332</v>
      </c>
      <c r="R18" s="5" t="s">
        <v>101</v>
      </c>
      <c r="S18" s="5" t="s">
        <v>333</v>
      </c>
      <c r="T18" s="22" t="s">
        <v>168</v>
      </c>
      <c r="U18" s="35" t="s">
        <v>167</v>
      </c>
    </row>
    <row r="19" spans="1:24" ht="13.5" customHeight="1">
      <c r="A19" s="184"/>
      <c r="B19" s="184"/>
      <c r="C19" s="184"/>
      <c r="D19" s="117"/>
      <c r="E19" s="117"/>
      <c r="F19" s="117"/>
      <c r="G19" s="117"/>
      <c r="H19" s="184"/>
      <c r="I19" s="184"/>
      <c r="J19" s="184"/>
      <c r="K19" s="117"/>
      <c r="L19" s="117"/>
      <c r="M19" s="117"/>
      <c r="N19" s="117"/>
      <c r="P19" s="105" t="s">
        <v>134</v>
      </c>
      <c r="Q19" s="5" t="s">
        <v>135</v>
      </c>
      <c r="R19" s="35" t="s">
        <v>167</v>
      </c>
      <c r="S19" s="2"/>
    </row>
    <row r="20" spans="1:24" ht="13.5" customHeight="1">
      <c r="A20" s="184"/>
      <c r="B20" s="184"/>
      <c r="C20" s="184"/>
      <c r="D20" s="117"/>
      <c r="E20" s="117"/>
      <c r="F20" s="117"/>
      <c r="G20" s="117"/>
      <c r="H20" s="184"/>
      <c r="I20" s="184"/>
      <c r="J20" s="184"/>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84"/>
      <c r="B21" s="184"/>
      <c r="C21" s="184"/>
      <c r="D21" s="117"/>
      <c r="E21" s="117"/>
      <c r="F21" s="117"/>
      <c r="G21" s="117"/>
      <c r="H21" s="184"/>
      <c r="I21" s="184"/>
      <c r="J21" s="184"/>
      <c r="K21" s="117"/>
      <c r="L21" s="117"/>
      <c r="M21" s="117"/>
      <c r="N21" s="117"/>
      <c r="Q21" s="16"/>
      <c r="R21" s="2"/>
      <c r="S21" s="2"/>
    </row>
    <row r="22" spans="1:24" ht="13.5" customHeight="1">
      <c r="A22" s="184"/>
      <c r="B22" s="184"/>
      <c r="C22" s="184"/>
      <c r="D22" s="117"/>
      <c r="E22" s="117"/>
      <c r="F22" s="117"/>
      <c r="G22" s="117"/>
      <c r="H22" s="184"/>
      <c r="I22" s="184"/>
      <c r="J22" s="184"/>
      <c r="K22" s="117"/>
      <c r="L22" s="117"/>
      <c r="M22" s="117"/>
      <c r="N22" s="117"/>
      <c r="R22" s="2"/>
      <c r="S22" s="2"/>
    </row>
    <row r="23" spans="1:24" ht="13.5" customHeight="1">
      <c r="A23" s="184"/>
      <c r="B23" s="184"/>
      <c r="C23" s="184"/>
      <c r="D23" s="117"/>
      <c r="E23" s="117"/>
      <c r="F23" s="117"/>
      <c r="G23" s="117"/>
      <c r="H23" s="184"/>
      <c r="I23" s="184"/>
      <c r="J23" s="184"/>
      <c r="K23" s="117"/>
      <c r="L23" s="117"/>
      <c r="M23" s="117"/>
      <c r="N23" s="117"/>
    </row>
    <row r="24" spans="1:24" ht="13.5" customHeight="1">
      <c r="A24" s="187" t="s">
        <v>339</v>
      </c>
      <c r="B24" s="187"/>
      <c r="C24" s="187"/>
      <c r="D24" s="180" t="s">
        <v>107</v>
      </c>
      <c r="E24" s="180"/>
      <c r="F24" s="181" t="s">
        <v>340</v>
      </c>
      <c r="G24" s="181"/>
      <c r="H24" s="181" t="s">
        <v>341</v>
      </c>
      <c r="I24" s="181"/>
      <c r="J24" s="181" t="s">
        <v>342</v>
      </c>
      <c r="K24" s="181"/>
      <c r="L24" s="181" t="s">
        <v>93</v>
      </c>
      <c r="M24" s="181"/>
      <c r="N24" s="180" t="s">
        <v>343</v>
      </c>
      <c r="P24" s="24">
        <v>0.5</v>
      </c>
      <c r="Q24" s="25">
        <v>12</v>
      </c>
      <c r="R24" s="4">
        <v>0</v>
      </c>
      <c r="S24" s="16">
        <v>6</v>
      </c>
      <c r="T24" s="4">
        <v>0</v>
      </c>
      <c r="U24" s="5">
        <v>15</v>
      </c>
    </row>
    <row r="25" spans="1:24" ht="13.5" customHeight="1">
      <c r="A25" s="187"/>
      <c r="B25" s="187"/>
      <c r="C25" s="187"/>
      <c r="D25" s="180"/>
      <c r="E25" s="180"/>
      <c r="F25" s="110" t="s">
        <v>136</v>
      </c>
      <c r="G25" s="110" t="s">
        <v>344</v>
      </c>
      <c r="H25" s="110" t="s">
        <v>136</v>
      </c>
      <c r="I25" s="110" t="s">
        <v>344</v>
      </c>
      <c r="J25" s="110" t="s">
        <v>102</v>
      </c>
      <c r="K25" s="110" t="s">
        <v>103</v>
      </c>
      <c r="L25" s="110" t="s">
        <v>48</v>
      </c>
      <c r="M25" s="110" t="s">
        <v>108</v>
      </c>
      <c r="N25" s="180"/>
      <c r="P25" s="7" t="s">
        <v>57</v>
      </c>
      <c r="Q25" s="26" t="s">
        <v>58</v>
      </c>
      <c r="R25" s="26" t="s">
        <v>59</v>
      </c>
      <c r="S25" s="26" t="s">
        <v>60</v>
      </c>
      <c r="T25" s="26" t="s">
        <v>61</v>
      </c>
      <c r="U25" s="26" t="s">
        <v>62</v>
      </c>
      <c r="V25" s="26" t="s">
        <v>63</v>
      </c>
      <c r="W25" s="26" t="s">
        <v>64</v>
      </c>
      <c r="X25" s="26" t="s">
        <v>65</v>
      </c>
    </row>
    <row r="26" spans="1:24" ht="13.5" customHeight="1">
      <c r="A26" s="187"/>
      <c r="B26" s="187"/>
      <c r="C26" s="187"/>
      <c r="D26" s="186"/>
      <c r="E26" s="186"/>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80" t="s">
        <v>345</v>
      </c>
      <c r="B27" s="180"/>
      <c r="C27" s="181" t="s">
        <v>346</v>
      </c>
      <c r="D27" s="181"/>
      <c r="E27" s="181"/>
      <c r="F27" s="181"/>
      <c r="G27" s="181"/>
      <c r="H27" s="181"/>
      <c r="I27" s="181"/>
      <c r="J27" s="181"/>
      <c r="K27" s="181"/>
      <c r="L27" s="181"/>
      <c r="M27" s="181"/>
      <c r="N27" s="181"/>
      <c r="P27" s="27">
        <v>0</v>
      </c>
      <c r="Q27" s="28" t="s">
        <v>67</v>
      </c>
      <c r="R27" s="29" t="s">
        <v>66</v>
      </c>
      <c r="S27" s="29" t="s">
        <v>68</v>
      </c>
      <c r="T27" s="29" t="s">
        <v>69</v>
      </c>
      <c r="U27" s="29" t="s">
        <v>70</v>
      </c>
      <c r="V27" s="29" t="s">
        <v>71</v>
      </c>
      <c r="W27" s="30" t="s">
        <v>72</v>
      </c>
      <c r="X27" s="22" t="s">
        <v>73</v>
      </c>
    </row>
    <row r="28" spans="1:24" ht="13.5" customHeight="1">
      <c r="A28" s="180"/>
      <c r="B28" s="180"/>
      <c r="C28" s="109">
        <v>1</v>
      </c>
      <c r="D28" s="185"/>
      <c r="E28" s="185"/>
      <c r="F28" s="185"/>
      <c r="G28" s="185"/>
      <c r="H28" s="185"/>
      <c r="I28" s="185"/>
      <c r="J28" s="185"/>
      <c r="K28" s="185"/>
      <c r="L28" s="185"/>
      <c r="M28" s="185"/>
      <c r="N28" s="185"/>
      <c r="P28" s="4">
        <v>0</v>
      </c>
      <c r="Q28" s="5">
        <v>85</v>
      </c>
      <c r="R28" s="2"/>
      <c r="S28" s="2"/>
    </row>
    <row r="29" spans="1:24" ht="13.5" customHeight="1">
      <c r="A29" s="180"/>
      <c r="B29" s="180"/>
      <c r="C29" s="109">
        <v>2</v>
      </c>
      <c r="D29" s="185"/>
      <c r="E29" s="185"/>
      <c r="F29" s="185"/>
      <c r="G29" s="185"/>
      <c r="H29" s="185"/>
      <c r="I29" s="185"/>
      <c r="J29" s="185"/>
      <c r="K29" s="185"/>
      <c r="L29" s="185"/>
      <c r="M29" s="185"/>
      <c r="N29" s="185"/>
    </row>
    <row r="30" spans="1:24" ht="13.5" customHeight="1">
      <c r="A30" s="180"/>
      <c r="B30" s="180"/>
      <c r="C30" s="109">
        <v>3</v>
      </c>
      <c r="D30" s="185"/>
      <c r="E30" s="185"/>
      <c r="F30" s="185"/>
      <c r="G30" s="185"/>
      <c r="H30" s="185"/>
      <c r="I30" s="185"/>
      <c r="J30" s="185"/>
      <c r="K30" s="185"/>
      <c r="L30" s="185"/>
      <c r="M30" s="185"/>
      <c r="N30" s="185"/>
    </row>
    <row r="31" spans="1:24" ht="13.5" customHeight="1">
      <c r="A31" s="180"/>
      <c r="B31" s="180"/>
      <c r="C31" s="109">
        <v>4</v>
      </c>
      <c r="D31" s="185"/>
      <c r="E31" s="185"/>
      <c r="F31" s="185"/>
      <c r="G31" s="185"/>
      <c r="H31" s="185"/>
      <c r="I31" s="185"/>
      <c r="J31" s="185"/>
      <c r="K31" s="185"/>
      <c r="L31" s="185"/>
      <c r="M31" s="185"/>
      <c r="N31" s="185"/>
    </row>
    <row r="32" spans="1:24" ht="13.5" customHeight="1">
      <c r="A32" s="180"/>
      <c r="B32" s="180"/>
      <c r="C32" s="109">
        <v>5</v>
      </c>
      <c r="D32" s="185"/>
      <c r="E32" s="185"/>
      <c r="F32" s="185"/>
      <c r="G32" s="185"/>
      <c r="H32" s="185"/>
      <c r="I32" s="185"/>
      <c r="J32" s="185"/>
      <c r="K32" s="185"/>
      <c r="L32" s="185"/>
      <c r="M32" s="185"/>
      <c r="N32" s="185"/>
      <c r="P32" s="2"/>
      <c r="Q32" s="2"/>
      <c r="R32" s="2"/>
      <c r="S32" s="2"/>
    </row>
    <row r="33" spans="1:19" ht="13.5" customHeight="1">
      <c r="A33" s="180"/>
      <c r="B33" s="180"/>
      <c r="C33" s="109">
        <v>6</v>
      </c>
      <c r="D33" s="185"/>
      <c r="E33" s="185"/>
      <c r="F33" s="185"/>
      <c r="G33" s="185"/>
      <c r="H33" s="185"/>
      <c r="I33" s="185"/>
      <c r="J33" s="185"/>
      <c r="K33" s="185"/>
      <c r="L33" s="185"/>
      <c r="M33" s="185"/>
      <c r="N33" s="185"/>
      <c r="R33" s="2"/>
      <c r="S33" s="2"/>
    </row>
    <row r="34" spans="1:19" ht="13.5" customHeight="1">
      <c r="A34" s="180"/>
      <c r="B34" s="180"/>
      <c r="C34" s="109">
        <v>7</v>
      </c>
      <c r="D34" s="185"/>
      <c r="E34" s="185"/>
      <c r="F34" s="185"/>
      <c r="G34" s="185"/>
      <c r="H34" s="185"/>
      <c r="I34" s="185"/>
      <c r="J34" s="185"/>
      <c r="K34" s="185"/>
      <c r="L34" s="185"/>
      <c r="M34" s="185"/>
      <c r="N34" s="185"/>
      <c r="R34" s="2"/>
      <c r="S34" s="2"/>
    </row>
    <row r="35" spans="1:19" ht="13.5" customHeight="1">
      <c r="A35" s="180"/>
      <c r="B35" s="180"/>
      <c r="C35" s="109">
        <v>8</v>
      </c>
      <c r="D35" s="185"/>
      <c r="E35" s="185"/>
      <c r="F35" s="185"/>
      <c r="G35" s="185"/>
      <c r="H35" s="185"/>
      <c r="I35" s="185"/>
      <c r="J35" s="185"/>
      <c r="K35" s="185"/>
      <c r="L35" s="185"/>
      <c r="M35" s="185"/>
      <c r="N35" s="185"/>
      <c r="R35" s="2"/>
      <c r="S35" s="2"/>
    </row>
    <row r="36" spans="1:19" ht="13.5" customHeight="1">
      <c r="A36" s="180"/>
      <c r="B36" s="180"/>
      <c r="C36" s="109">
        <v>9</v>
      </c>
      <c r="D36" s="185"/>
      <c r="E36" s="185"/>
      <c r="F36" s="185"/>
      <c r="G36" s="185"/>
      <c r="H36" s="185"/>
      <c r="I36" s="185"/>
      <c r="J36" s="185"/>
      <c r="K36" s="185"/>
      <c r="L36" s="185"/>
      <c r="M36" s="185"/>
      <c r="N36" s="185"/>
      <c r="R36" s="2"/>
      <c r="S36" s="2"/>
    </row>
    <row r="37" spans="1:19" ht="13.5" customHeight="1">
      <c r="A37" s="180"/>
      <c r="B37" s="180"/>
      <c r="C37" s="109">
        <v>10</v>
      </c>
      <c r="D37" s="185"/>
      <c r="E37" s="185"/>
      <c r="F37" s="185"/>
      <c r="G37" s="185"/>
      <c r="H37" s="185"/>
      <c r="I37" s="185"/>
      <c r="J37" s="185"/>
      <c r="K37" s="185"/>
      <c r="L37" s="185"/>
      <c r="M37" s="185"/>
      <c r="N37" s="185"/>
      <c r="R37" s="2"/>
      <c r="S37" s="2"/>
    </row>
    <row r="38" spans="1:19" ht="13.5" customHeight="1">
      <c r="A38" s="180"/>
      <c r="B38" s="180"/>
      <c r="C38" s="109">
        <v>11</v>
      </c>
      <c r="D38" s="185"/>
      <c r="E38" s="185"/>
      <c r="F38" s="185"/>
      <c r="G38" s="185"/>
      <c r="H38" s="185"/>
      <c r="I38" s="185"/>
      <c r="J38" s="185"/>
      <c r="K38" s="185"/>
      <c r="L38" s="185"/>
      <c r="M38" s="185"/>
      <c r="N38" s="185"/>
      <c r="R38" s="2"/>
      <c r="S38" s="2"/>
    </row>
    <row r="39" spans="1:19" ht="13.5" customHeight="1">
      <c r="A39" s="180"/>
      <c r="B39" s="180"/>
      <c r="C39" s="109">
        <v>12</v>
      </c>
      <c r="D39" s="185"/>
      <c r="E39" s="185"/>
      <c r="F39" s="185"/>
      <c r="G39" s="185"/>
      <c r="H39" s="185"/>
      <c r="I39" s="185"/>
      <c r="J39" s="185"/>
      <c r="K39" s="185"/>
      <c r="L39" s="185"/>
      <c r="M39" s="185"/>
      <c r="N39" s="185"/>
      <c r="R39" s="2"/>
      <c r="S39" s="2"/>
    </row>
    <row r="40" spans="1:19" ht="13.5" customHeight="1">
      <c r="A40" s="188" t="s">
        <v>347</v>
      </c>
      <c r="B40" s="180"/>
      <c r="C40" s="180" t="s">
        <v>348</v>
      </c>
      <c r="D40" s="180"/>
      <c r="E40" s="180"/>
      <c r="F40" s="180"/>
      <c r="G40" s="180"/>
      <c r="H40" s="180"/>
      <c r="I40" s="180"/>
      <c r="J40" s="180"/>
      <c r="K40" s="180"/>
      <c r="L40" s="180"/>
      <c r="M40" s="180"/>
      <c r="N40" s="180"/>
      <c r="R40" s="2"/>
      <c r="S40" s="2"/>
    </row>
    <row r="41" spans="1:19" ht="13.5" customHeight="1">
      <c r="A41" s="180"/>
      <c r="B41" s="180"/>
      <c r="C41" s="109">
        <v>1</v>
      </c>
      <c r="D41" s="185"/>
      <c r="E41" s="185"/>
      <c r="F41" s="185"/>
      <c r="G41" s="185"/>
      <c r="H41" s="185"/>
      <c r="I41" s="185"/>
      <c r="J41" s="185"/>
      <c r="K41" s="185"/>
      <c r="L41" s="185"/>
      <c r="M41" s="185"/>
      <c r="N41" s="185"/>
      <c r="P41" s="4">
        <v>0</v>
      </c>
      <c r="Q41" s="5">
        <v>85</v>
      </c>
      <c r="R41" s="2"/>
      <c r="S41" s="2"/>
    </row>
    <row r="42" spans="1:19" ht="13.5" customHeight="1">
      <c r="A42" s="180"/>
      <c r="B42" s="180"/>
      <c r="C42" s="109">
        <v>2</v>
      </c>
      <c r="D42" s="185"/>
      <c r="E42" s="185"/>
      <c r="F42" s="185"/>
      <c r="G42" s="185"/>
      <c r="H42" s="185"/>
      <c r="I42" s="185"/>
      <c r="J42" s="185"/>
      <c r="K42" s="185"/>
      <c r="L42" s="185"/>
      <c r="M42" s="185"/>
      <c r="N42" s="185"/>
      <c r="Q42" s="5"/>
      <c r="R42" s="2"/>
      <c r="S42" s="2"/>
    </row>
    <row r="43" spans="1:19" ht="13.5" customHeight="1">
      <c r="A43" s="180"/>
      <c r="B43" s="180"/>
      <c r="C43" s="109">
        <v>3</v>
      </c>
      <c r="D43" s="185"/>
      <c r="E43" s="185"/>
      <c r="F43" s="185"/>
      <c r="G43" s="185"/>
      <c r="H43" s="185"/>
      <c r="I43" s="185"/>
      <c r="J43" s="185"/>
      <c r="K43" s="185"/>
      <c r="L43" s="185"/>
      <c r="M43" s="185"/>
      <c r="N43" s="185"/>
      <c r="R43" s="2"/>
      <c r="S43" s="2"/>
    </row>
    <row r="44" spans="1:19" ht="13.5" customHeight="1">
      <c r="A44" s="180"/>
      <c r="B44" s="180"/>
      <c r="C44" s="109">
        <v>4</v>
      </c>
      <c r="D44" s="185"/>
      <c r="E44" s="185"/>
      <c r="F44" s="185"/>
      <c r="G44" s="185"/>
      <c r="H44" s="185"/>
      <c r="I44" s="185"/>
      <c r="J44" s="185"/>
      <c r="K44" s="185"/>
      <c r="L44" s="185"/>
      <c r="M44" s="185"/>
      <c r="N44" s="185"/>
      <c r="R44" s="2"/>
      <c r="S44" s="2"/>
    </row>
    <row r="45" spans="1:19" ht="13.5" customHeight="1">
      <c r="A45" s="188" t="s">
        <v>349</v>
      </c>
      <c r="B45" s="180"/>
      <c r="C45" s="109" t="s">
        <v>98</v>
      </c>
      <c r="D45" s="180" t="s">
        <v>99</v>
      </c>
      <c r="E45" s="180"/>
      <c r="F45" s="180"/>
      <c r="G45" s="180"/>
      <c r="H45" s="180"/>
      <c r="I45" s="180"/>
      <c r="J45" s="180"/>
      <c r="K45" s="180"/>
      <c r="L45" s="180"/>
      <c r="M45" s="180"/>
      <c r="N45" s="180"/>
      <c r="S45" s="2"/>
    </row>
    <row r="46" spans="1:19" ht="13.5" customHeight="1">
      <c r="A46" s="180"/>
      <c r="B46" s="180"/>
      <c r="C46" s="119"/>
      <c r="D46" s="109">
        <v>1</v>
      </c>
      <c r="E46" s="189"/>
      <c r="F46" s="189"/>
      <c r="G46" s="189"/>
      <c r="H46" s="189"/>
      <c r="I46" s="189"/>
      <c r="J46" s="189"/>
      <c r="K46" s="189"/>
      <c r="L46" s="189"/>
      <c r="M46" s="189"/>
      <c r="N46" s="189"/>
      <c r="P46" s="4">
        <v>0</v>
      </c>
      <c r="Q46" s="5">
        <v>70</v>
      </c>
      <c r="R46" s="31" t="s">
        <v>92</v>
      </c>
      <c r="S46" s="2"/>
    </row>
    <row r="47" spans="1:19" ht="13.5" customHeight="1">
      <c r="A47" s="180"/>
      <c r="B47" s="180"/>
      <c r="C47" s="119"/>
      <c r="D47" s="109">
        <v>2</v>
      </c>
      <c r="E47" s="189"/>
      <c r="F47" s="189"/>
      <c r="G47" s="189"/>
      <c r="H47" s="189"/>
      <c r="I47" s="189"/>
      <c r="J47" s="189"/>
      <c r="K47" s="189"/>
      <c r="L47" s="189"/>
      <c r="M47" s="189"/>
      <c r="N47" s="189"/>
      <c r="R47" s="31" t="s">
        <v>94</v>
      </c>
      <c r="S47" s="2"/>
    </row>
    <row r="48" spans="1:19" ht="13.5" customHeight="1">
      <c r="A48" s="180"/>
      <c r="B48" s="180"/>
      <c r="C48" s="119"/>
      <c r="D48" s="109">
        <v>3</v>
      </c>
      <c r="E48" s="189"/>
      <c r="F48" s="189"/>
      <c r="G48" s="189"/>
      <c r="H48" s="189"/>
      <c r="I48" s="189"/>
      <c r="J48" s="189"/>
      <c r="K48" s="189"/>
      <c r="L48" s="189"/>
      <c r="M48" s="189"/>
      <c r="N48" s="189"/>
      <c r="R48" s="31" t="s">
        <v>95</v>
      </c>
      <c r="S48" s="2"/>
    </row>
    <row r="49" spans="1:19" ht="13.5" customHeight="1">
      <c r="A49" s="180"/>
      <c r="B49" s="180"/>
      <c r="C49" s="119"/>
      <c r="D49" s="109">
        <v>4</v>
      </c>
      <c r="E49" s="189"/>
      <c r="F49" s="189"/>
      <c r="G49" s="189"/>
      <c r="H49" s="189"/>
      <c r="I49" s="189"/>
      <c r="J49" s="189"/>
      <c r="K49" s="189"/>
      <c r="L49" s="189"/>
      <c r="M49" s="189"/>
      <c r="N49" s="189"/>
      <c r="R49" s="32" t="s">
        <v>96</v>
      </c>
      <c r="S49" s="2"/>
    </row>
    <row r="50" spans="1:19" ht="13.5" customHeight="1">
      <c r="A50" s="180"/>
      <c r="B50" s="180"/>
      <c r="C50" s="119"/>
      <c r="D50" s="109">
        <v>5</v>
      </c>
      <c r="E50" s="189"/>
      <c r="F50" s="189"/>
      <c r="G50" s="189"/>
      <c r="H50" s="189"/>
      <c r="I50" s="189"/>
      <c r="J50" s="189"/>
      <c r="K50" s="189"/>
      <c r="L50" s="189"/>
      <c r="M50" s="189"/>
      <c r="N50" s="189"/>
      <c r="R50" s="33" t="s">
        <v>97</v>
      </c>
      <c r="S50" s="2"/>
    </row>
    <row r="51" spans="1:19" ht="13.5" customHeight="1">
      <c r="A51" s="180"/>
      <c r="B51" s="180"/>
      <c r="C51" s="119"/>
      <c r="D51" s="109">
        <v>6</v>
      </c>
      <c r="E51" s="189"/>
      <c r="F51" s="189"/>
      <c r="G51" s="189"/>
      <c r="H51" s="189"/>
      <c r="I51" s="189"/>
      <c r="J51" s="189"/>
      <c r="K51" s="189"/>
      <c r="L51" s="189"/>
      <c r="M51" s="189"/>
      <c r="N51" s="189"/>
      <c r="S51" s="2"/>
    </row>
    <row r="52" spans="1:19" ht="13.5" customHeight="1">
      <c r="A52" s="180"/>
      <c r="B52" s="180"/>
      <c r="C52" s="119"/>
      <c r="D52" s="109">
        <v>7</v>
      </c>
      <c r="E52" s="189"/>
      <c r="F52" s="189"/>
      <c r="G52" s="189"/>
      <c r="H52" s="189"/>
      <c r="I52" s="189"/>
      <c r="J52" s="189"/>
      <c r="K52" s="189"/>
      <c r="L52" s="189"/>
      <c r="M52" s="189"/>
      <c r="N52" s="189"/>
      <c r="S52" s="2"/>
    </row>
    <row r="53" spans="1:19" ht="13.5" customHeight="1">
      <c r="A53" s="180"/>
      <c r="B53" s="180"/>
      <c r="C53" s="119"/>
      <c r="D53" s="109">
        <v>8</v>
      </c>
      <c r="E53" s="189"/>
      <c r="F53" s="189"/>
      <c r="G53" s="189"/>
      <c r="H53" s="189"/>
      <c r="I53" s="189"/>
      <c r="J53" s="189"/>
      <c r="K53" s="189"/>
      <c r="L53" s="189"/>
      <c r="M53" s="189"/>
      <c r="N53" s="189"/>
      <c r="S53" s="2"/>
    </row>
    <row r="54" spans="1:19" ht="13.5" customHeight="1">
      <c r="A54" s="180"/>
      <c r="B54" s="180"/>
      <c r="C54" s="119"/>
      <c r="D54" s="109">
        <v>9</v>
      </c>
      <c r="E54" s="189"/>
      <c r="F54" s="189"/>
      <c r="G54" s="189"/>
      <c r="H54" s="189"/>
      <c r="I54" s="189"/>
      <c r="J54" s="189"/>
      <c r="K54" s="189"/>
      <c r="L54" s="189"/>
      <c r="M54" s="189"/>
      <c r="N54" s="189"/>
      <c r="S54" s="2"/>
    </row>
    <row r="55" spans="1:19" ht="13.5" customHeight="1">
      <c r="A55" s="180"/>
      <c r="B55" s="180"/>
      <c r="C55" s="119"/>
      <c r="D55" s="109">
        <v>10</v>
      </c>
      <c r="E55" s="189"/>
      <c r="F55" s="189"/>
      <c r="G55" s="189"/>
      <c r="H55" s="189"/>
      <c r="I55" s="189"/>
      <c r="J55" s="189"/>
      <c r="K55" s="189"/>
      <c r="L55" s="189"/>
      <c r="M55" s="189"/>
      <c r="N55" s="189"/>
      <c r="S55" s="2"/>
    </row>
    <row r="56" spans="1:19" ht="13.5" customHeight="1">
      <c r="A56" s="180"/>
      <c r="B56" s="180"/>
      <c r="C56" s="119"/>
      <c r="D56" s="109">
        <v>11</v>
      </c>
      <c r="E56" s="189"/>
      <c r="F56" s="189"/>
      <c r="G56" s="189"/>
      <c r="H56" s="189"/>
      <c r="I56" s="189"/>
      <c r="J56" s="189"/>
      <c r="K56" s="189"/>
      <c r="L56" s="189"/>
      <c r="M56" s="189"/>
      <c r="N56" s="189"/>
      <c r="S56" s="2"/>
    </row>
    <row r="57" spans="1:19" ht="13.5" customHeight="1">
      <c r="A57" s="180"/>
      <c r="B57" s="180"/>
      <c r="C57" s="119"/>
      <c r="D57" s="109">
        <v>12</v>
      </c>
      <c r="E57" s="189"/>
      <c r="F57" s="189"/>
      <c r="G57" s="189"/>
      <c r="H57" s="189"/>
      <c r="I57" s="189"/>
      <c r="J57" s="189"/>
      <c r="K57" s="189"/>
      <c r="L57" s="189"/>
      <c r="M57" s="189"/>
      <c r="N57" s="189"/>
      <c r="S57" s="2"/>
    </row>
    <row r="58" spans="1:19" ht="13.5" customHeight="1">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139</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13"/>
      <c r="B18" s="214"/>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205" t="s">
        <v>145</v>
      </c>
      <c r="B23" s="206"/>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7"/>
      <c r="B24" s="208"/>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7"/>
      <c r="B36" s="208"/>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11" t="s">
        <v>152</v>
      </c>
      <c r="B55" s="212"/>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191</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13"/>
      <c r="B18" s="214"/>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205" t="s">
        <v>145</v>
      </c>
      <c r="B23" s="206"/>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7"/>
      <c r="B24" s="208"/>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7"/>
      <c r="B36" s="208"/>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11" t="s">
        <v>152</v>
      </c>
      <c r="B55" s="212"/>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22" t="s">
        <v>219</v>
      </c>
      <c r="C1" s="223"/>
      <c r="D1" s="223"/>
      <c r="E1" s="223"/>
      <c r="F1" s="90"/>
    </row>
    <row r="2" spans="1:7">
      <c r="A2" s="103" t="s">
        <v>220</v>
      </c>
      <c r="B2" s="224" t="s">
        <v>221</v>
      </c>
      <c r="C2" s="225"/>
      <c r="D2" s="225"/>
      <c r="E2" s="225"/>
      <c r="G2" s="1"/>
    </row>
    <row r="3" spans="1:7">
      <c r="A3" s="226" t="s">
        <v>141</v>
      </c>
      <c r="B3" s="226" t="s">
        <v>222</v>
      </c>
      <c r="C3" s="226" t="s">
        <v>223</v>
      </c>
      <c r="D3" s="226"/>
      <c r="E3" s="226"/>
      <c r="G3" s="1"/>
    </row>
    <row r="4" spans="1:7">
      <c r="A4" s="226"/>
      <c r="B4" s="226"/>
      <c r="C4" s="92" t="s">
        <v>225</v>
      </c>
      <c r="D4" s="92" t="s">
        <v>226</v>
      </c>
      <c r="E4" s="92" t="s">
        <v>227</v>
      </c>
      <c r="G4" s="1"/>
    </row>
    <row r="5" spans="1:7">
      <c r="A5" s="227" t="s">
        <v>143</v>
      </c>
      <c r="B5" s="100" t="s">
        <v>315</v>
      </c>
      <c r="C5" s="101" t="s">
        <v>228</v>
      </c>
      <c r="D5" s="101"/>
      <c r="E5" s="101"/>
      <c r="G5" s="1"/>
    </row>
    <row r="6" spans="1:7">
      <c r="A6" s="227"/>
      <c r="B6" s="102" t="s">
        <v>230</v>
      </c>
      <c r="C6" s="101"/>
      <c r="D6" s="101" t="s">
        <v>231</v>
      </c>
      <c r="E6" s="101"/>
      <c r="G6" s="1"/>
    </row>
    <row r="7" spans="1:7">
      <c r="A7" s="227"/>
      <c r="B7" s="102" t="s">
        <v>233</v>
      </c>
      <c r="C7" s="101" t="s">
        <v>224</v>
      </c>
      <c r="D7" s="101" t="s">
        <v>234</v>
      </c>
      <c r="E7" s="101"/>
      <c r="G7" s="1"/>
    </row>
    <row r="8" spans="1:7">
      <c r="A8" s="227"/>
      <c r="B8" s="102" t="s">
        <v>235</v>
      </c>
      <c r="C8" s="101" t="s">
        <v>236</v>
      </c>
      <c r="D8" s="101" t="s">
        <v>234</v>
      </c>
      <c r="E8" s="101"/>
      <c r="G8" s="1"/>
    </row>
    <row r="9" spans="1:7">
      <c r="A9" s="228"/>
      <c r="B9" s="102" t="s">
        <v>238</v>
      </c>
      <c r="C9" s="101" t="s">
        <v>239</v>
      </c>
      <c r="D9" s="101"/>
      <c r="E9" s="101"/>
      <c r="G9" s="1"/>
    </row>
    <row r="10" spans="1:7">
      <c r="A10" s="228"/>
      <c r="B10" s="102" t="s">
        <v>241</v>
      </c>
      <c r="C10" s="101"/>
      <c r="D10" s="101" t="s">
        <v>242</v>
      </c>
      <c r="E10" s="101"/>
      <c r="G10" s="1"/>
    </row>
    <row r="11" spans="1:7">
      <c r="A11" s="228"/>
      <c r="B11" s="102" t="s">
        <v>243</v>
      </c>
      <c r="C11" s="101"/>
      <c r="D11" s="101" t="s">
        <v>244</v>
      </c>
      <c r="E11" s="101" t="s">
        <v>245</v>
      </c>
      <c r="G11" s="1"/>
    </row>
    <row r="12" spans="1:7">
      <c r="A12" s="228"/>
      <c r="B12" s="102"/>
      <c r="C12" s="101"/>
      <c r="D12" s="101"/>
      <c r="E12" s="101"/>
      <c r="G12" s="1"/>
    </row>
    <row r="13" spans="1:7">
      <c r="A13" s="227" t="s">
        <v>144</v>
      </c>
      <c r="B13" s="93" t="s">
        <v>247</v>
      </c>
      <c r="C13" s="94" t="s">
        <v>248</v>
      </c>
      <c r="D13" s="94" t="s">
        <v>249</v>
      </c>
      <c r="E13" s="94" t="s">
        <v>250</v>
      </c>
      <c r="G13" s="1"/>
    </row>
    <row r="14" spans="1:7">
      <c r="A14" s="227"/>
      <c r="B14" s="93" t="s">
        <v>251</v>
      </c>
      <c r="C14" s="94" t="s">
        <v>248</v>
      </c>
      <c r="D14" s="94" t="s">
        <v>249</v>
      </c>
      <c r="E14" s="94" t="s">
        <v>240</v>
      </c>
      <c r="G14" s="1"/>
    </row>
    <row r="15" spans="1:7">
      <c r="A15" s="227"/>
      <c r="B15" s="93" t="s">
        <v>252</v>
      </c>
      <c r="C15" s="94" t="s">
        <v>248</v>
      </c>
      <c r="D15" s="94" t="s">
        <v>250</v>
      </c>
      <c r="E15" s="94" t="s">
        <v>240</v>
      </c>
      <c r="G15" s="1"/>
    </row>
    <row r="16" spans="1:7">
      <c r="A16" s="227"/>
      <c r="B16" s="93" t="s">
        <v>254</v>
      </c>
      <c r="C16" s="94" t="s">
        <v>248</v>
      </c>
      <c r="D16" s="94" t="s">
        <v>250</v>
      </c>
      <c r="E16" s="94" t="s">
        <v>240</v>
      </c>
      <c r="G16" s="1"/>
    </row>
    <row r="17" spans="1:7">
      <c r="A17" s="227"/>
      <c r="B17" s="93"/>
      <c r="C17" s="94"/>
      <c r="D17" s="94"/>
      <c r="E17" s="94"/>
      <c r="G17" s="1"/>
    </row>
    <row r="18" spans="1:7">
      <c r="A18" s="227"/>
      <c r="B18" s="93"/>
      <c r="C18" s="94"/>
      <c r="D18" s="94"/>
      <c r="E18" s="94"/>
      <c r="F18" s="95"/>
      <c r="G18" s="1"/>
    </row>
    <row r="19" spans="1:7">
      <c r="A19" s="227" t="s">
        <v>145</v>
      </c>
      <c r="B19" s="102" t="s">
        <v>255</v>
      </c>
      <c r="C19" s="101" t="s">
        <v>242</v>
      </c>
      <c r="D19" s="101" t="s">
        <v>244</v>
      </c>
      <c r="E19" s="101" t="s">
        <v>250</v>
      </c>
      <c r="F19" s="95"/>
      <c r="G19" s="1"/>
    </row>
    <row r="20" spans="1:7">
      <c r="A20" s="227"/>
      <c r="B20" s="102" t="s">
        <v>256</v>
      </c>
      <c r="C20" s="101" t="s">
        <v>242</v>
      </c>
      <c r="D20" s="101" t="s">
        <v>244</v>
      </c>
      <c r="E20" s="101" t="s">
        <v>250</v>
      </c>
      <c r="G20" s="1"/>
    </row>
    <row r="21" spans="1:7">
      <c r="A21" s="227"/>
      <c r="B21" s="102" t="s">
        <v>257</v>
      </c>
      <c r="C21" s="101" t="s">
        <v>244</v>
      </c>
      <c r="D21" s="101" t="s">
        <v>250</v>
      </c>
      <c r="E21" s="101" t="s">
        <v>240</v>
      </c>
      <c r="G21" s="1"/>
    </row>
    <row r="22" spans="1:7">
      <c r="A22" s="227"/>
      <c r="B22" s="102" t="s">
        <v>258</v>
      </c>
      <c r="C22" s="101"/>
      <c r="D22" s="101" t="s">
        <v>250</v>
      </c>
      <c r="E22" s="101" t="s">
        <v>240</v>
      </c>
      <c r="G22" s="1"/>
    </row>
    <row r="23" spans="1:7">
      <c r="A23" s="227"/>
      <c r="B23" s="102" t="s">
        <v>259</v>
      </c>
      <c r="C23" s="101"/>
      <c r="D23" s="101" t="s">
        <v>250</v>
      </c>
      <c r="E23" s="101" t="s">
        <v>240</v>
      </c>
      <c r="G23" s="1"/>
    </row>
    <row r="24" spans="1:7">
      <c r="A24" s="227"/>
      <c r="B24" s="102"/>
      <c r="C24" s="101"/>
      <c r="D24" s="101"/>
      <c r="E24" s="101"/>
      <c r="G24" s="1"/>
    </row>
    <row r="25" spans="1:7">
      <c r="A25" s="227" t="s">
        <v>146</v>
      </c>
      <c r="B25" s="93" t="s">
        <v>261</v>
      </c>
      <c r="C25" s="94" t="s">
        <v>229</v>
      </c>
      <c r="D25" s="94"/>
      <c r="E25" s="94"/>
      <c r="G25" s="1"/>
    </row>
    <row r="26" spans="1:7">
      <c r="A26" s="227"/>
      <c r="B26" s="93" t="s">
        <v>262</v>
      </c>
      <c r="C26" s="94" t="s">
        <v>229</v>
      </c>
      <c r="D26" s="94" t="s">
        <v>237</v>
      </c>
      <c r="E26" s="94" t="s">
        <v>246</v>
      </c>
      <c r="G26" s="1"/>
    </row>
    <row r="27" spans="1:7">
      <c r="A27" s="227"/>
      <c r="B27" s="93" t="s">
        <v>263</v>
      </c>
      <c r="C27" s="94" t="s">
        <v>229</v>
      </c>
      <c r="D27" s="94" t="s">
        <v>237</v>
      </c>
      <c r="E27" s="94" t="s">
        <v>246</v>
      </c>
      <c r="G27" s="1"/>
    </row>
    <row r="28" spans="1:7">
      <c r="A28" s="227"/>
      <c r="B28" s="93" t="s">
        <v>264</v>
      </c>
      <c r="C28" s="94" t="s">
        <v>232</v>
      </c>
      <c r="D28" s="94" t="s">
        <v>237</v>
      </c>
      <c r="E28" s="94" t="s">
        <v>246</v>
      </c>
      <c r="G28" s="1"/>
    </row>
    <row r="29" spans="1:7">
      <c r="A29" s="227"/>
      <c r="B29" s="93" t="s">
        <v>266</v>
      </c>
      <c r="C29" s="94" t="s">
        <v>232</v>
      </c>
      <c r="D29" s="94" t="s">
        <v>237</v>
      </c>
      <c r="E29" s="94" t="s">
        <v>246</v>
      </c>
      <c r="G29" s="1"/>
    </row>
    <row r="30" spans="1:7">
      <c r="A30" s="227"/>
      <c r="B30" s="93" t="s">
        <v>268</v>
      </c>
      <c r="C30" s="94"/>
      <c r="D30" s="94" t="s">
        <v>237</v>
      </c>
      <c r="E30" s="94" t="s">
        <v>246</v>
      </c>
      <c r="G30" s="1"/>
    </row>
    <row r="31" spans="1:7">
      <c r="A31" s="227"/>
      <c r="B31" s="93" t="s">
        <v>270</v>
      </c>
      <c r="C31" s="94"/>
      <c r="D31" s="94" t="s">
        <v>237</v>
      </c>
      <c r="E31" s="94" t="s">
        <v>246</v>
      </c>
      <c r="G31" s="1"/>
    </row>
    <row r="32" spans="1:7">
      <c r="A32" s="227"/>
      <c r="B32" s="93"/>
      <c r="C32" s="94"/>
      <c r="D32" s="94"/>
      <c r="E32" s="94"/>
      <c r="G32" s="1"/>
    </row>
    <row r="33" spans="1:7">
      <c r="A33" s="229" t="s">
        <v>147</v>
      </c>
      <c r="B33" s="102" t="s">
        <v>273</v>
      </c>
      <c r="C33" s="101" t="s">
        <v>274</v>
      </c>
      <c r="D33" s="101" t="s">
        <v>253</v>
      </c>
      <c r="E33" s="101" t="s">
        <v>245</v>
      </c>
      <c r="G33" s="1"/>
    </row>
    <row r="34" spans="1:7">
      <c r="A34" s="230"/>
      <c r="B34" s="102" t="s">
        <v>275</v>
      </c>
      <c r="C34" s="101" t="s">
        <v>274</v>
      </c>
      <c r="D34" s="101" t="s">
        <v>253</v>
      </c>
      <c r="E34" s="101" t="s">
        <v>245</v>
      </c>
      <c r="G34" s="1"/>
    </row>
    <row r="35" spans="1:7">
      <c r="A35" s="230"/>
      <c r="B35" s="102" t="s">
        <v>276</v>
      </c>
      <c r="C35" s="101"/>
      <c r="D35" s="101" t="s">
        <v>253</v>
      </c>
      <c r="E35" s="101" t="s">
        <v>245</v>
      </c>
      <c r="G35" s="1"/>
    </row>
    <row r="36" spans="1:7" ht="12.75" customHeight="1">
      <c r="A36" s="230"/>
      <c r="B36" s="102" t="s">
        <v>277</v>
      </c>
      <c r="C36" s="101"/>
      <c r="D36" s="101" t="s">
        <v>245</v>
      </c>
      <c r="E36" s="101" t="s">
        <v>245</v>
      </c>
      <c r="G36" s="1"/>
    </row>
    <row r="37" spans="1:7">
      <c r="A37" s="230"/>
      <c r="B37" s="102"/>
      <c r="C37" s="101"/>
      <c r="D37" s="101"/>
      <c r="E37" s="101"/>
      <c r="G37" s="1"/>
    </row>
    <row r="38" spans="1:7">
      <c r="A38" s="231"/>
      <c r="B38" s="102"/>
      <c r="C38" s="101"/>
      <c r="D38" s="101"/>
      <c r="E38" s="101"/>
      <c r="G38" s="1"/>
    </row>
    <row r="39" spans="1:7">
      <c r="A39" s="229" t="s">
        <v>148</v>
      </c>
      <c r="B39" s="93" t="s">
        <v>278</v>
      </c>
      <c r="C39" s="94" t="s">
        <v>232</v>
      </c>
      <c r="D39" s="94" t="s">
        <v>237</v>
      </c>
      <c r="E39" s="94" t="s">
        <v>246</v>
      </c>
      <c r="G39" s="1"/>
    </row>
    <row r="40" spans="1:7">
      <c r="A40" s="232"/>
      <c r="B40" s="93" t="s">
        <v>279</v>
      </c>
      <c r="C40" s="94" t="s">
        <v>232</v>
      </c>
      <c r="D40" s="94" t="s">
        <v>237</v>
      </c>
      <c r="E40" s="94" t="s">
        <v>246</v>
      </c>
      <c r="G40" s="1"/>
    </row>
    <row r="41" spans="1:7">
      <c r="A41" s="232"/>
      <c r="B41" s="93" t="s">
        <v>280</v>
      </c>
      <c r="C41" s="94" t="s">
        <v>232</v>
      </c>
      <c r="D41" s="94" t="s">
        <v>237</v>
      </c>
      <c r="E41" s="94" t="s">
        <v>246</v>
      </c>
      <c r="G41" s="1"/>
    </row>
    <row r="42" spans="1:7">
      <c r="A42" s="232"/>
      <c r="B42" s="93" t="s">
        <v>281</v>
      </c>
      <c r="C42" s="94"/>
      <c r="D42" s="94" t="s">
        <v>237</v>
      </c>
      <c r="E42" s="94" t="s">
        <v>246</v>
      </c>
      <c r="G42" s="1"/>
    </row>
    <row r="43" spans="1:7">
      <c r="A43" s="232"/>
      <c r="B43" s="93" t="s">
        <v>282</v>
      </c>
      <c r="C43" s="94"/>
      <c r="D43" s="94" t="s">
        <v>237</v>
      </c>
      <c r="E43" s="94" t="s">
        <v>246</v>
      </c>
      <c r="G43" s="1"/>
    </row>
    <row r="44" spans="1:7">
      <c r="A44" s="232"/>
      <c r="B44" s="93" t="s">
        <v>283</v>
      </c>
      <c r="C44" s="94"/>
      <c r="D44" s="94" t="s">
        <v>237</v>
      </c>
      <c r="E44" s="94" t="s">
        <v>246</v>
      </c>
      <c r="G44" s="1"/>
    </row>
    <row r="45" spans="1:7">
      <c r="A45" s="229" t="s">
        <v>149</v>
      </c>
      <c r="B45" s="102" t="s">
        <v>284</v>
      </c>
      <c r="C45" s="101" t="s">
        <v>232</v>
      </c>
      <c r="D45" s="101" t="s">
        <v>267</v>
      </c>
      <c r="E45" s="101" t="s">
        <v>237</v>
      </c>
      <c r="G45" s="1"/>
    </row>
    <row r="46" spans="1:7">
      <c r="A46" s="232"/>
      <c r="B46" s="102" t="s">
        <v>285</v>
      </c>
      <c r="C46" s="101" t="s">
        <v>232</v>
      </c>
      <c r="D46" s="101" t="s">
        <v>267</v>
      </c>
      <c r="E46" s="101" t="s">
        <v>237</v>
      </c>
      <c r="G46" s="1"/>
    </row>
    <row r="47" spans="1:7">
      <c r="A47" s="232"/>
      <c r="B47" s="102" t="s">
        <v>286</v>
      </c>
      <c r="C47" s="101"/>
      <c r="D47" s="101" t="s">
        <v>267</v>
      </c>
      <c r="E47" s="101" t="s">
        <v>237</v>
      </c>
      <c r="G47" s="1"/>
    </row>
    <row r="48" spans="1:7">
      <c r="A48" s="232"/>
      <c r="B48" s="102" t="s">
        <v>287</v>
      </c>
      <c r="C48" s="101"/>
      <c r="D48" s="101" t="s">
        <v>237</v>
      </c>
      <c r="E48" s="101" t="s">
        <v>246</v>
      </c>
      <c r="G48" s="1"/>
    </row>
    <row r="49" spans="1:7">
      <c r="A49" s="232"/>
      <c r="B49" s="102" t="s">
        <v>288</v>
      </c>
      <c r="C49" s="101"/>
      <c r="D49" s="101" t="s">
        <v>237</v>
      </c>
      <c r="E49" s="101" t="s">
        <v>246</v>
      </c>
      <c r="G49" s="1"/>
    </row>
    <row r="50" spans="1:7">
      <c r="A50" s="233"/>
      <c r="B50" s="102" t="s">
        <v>290</v>
      </c>
      <c r="C50" s="101"/>
      <c r="D50" s="101" t="s">
        <v>237</v>
      </c>
      <c r="E50" s="101" t="s">
        <v>246</v>
      </c>
      <c r="G50" s="1"/>
    </row>
    <row r="51" spans="1:7">
      <c r="A51" s="227" t="s">
        <v>150</v>
      </c>
      <c r="B51" s="93" t="s">
        <v>291</v>
      </c>
      <c r="C51" s="94" t="s">
        <v>265</v>
      </c>
      <c r="D51" s="94" t="s">
        <v>237</v>
      </c>
      <c r="E51" s="94" t="s">
        <v>246</v>
      </c>
      <c r="G51" s="1"/>
    </row>
    <row r="52" spans="1:7">
      <c r="A52" s="227"/>
      <c r="B52" s="93" t="s">
        <v>292</v>
      </c>
      <c r="C52" s="94" t="s">
        <v>265</v>
      </c>
      <c r="D52" s="94" t="s">
        <v>237</v>
      </c>
      <c r="E52" s="94" t="s">
        <v>246</v>
      </c>
      <c r="G52" s="1"/>
    </row>
    <row r="53" spans="1:7">
      <c r="A53" s="227"/>
      <c r="B53" s="93" t="s">
        <v>293</v>
      </c>
      <c r="C53" s="94" t="s">
        <v>265</v>
      </c>
      <c r="D53" s="94" t="s">
        <v>237</v>
      </c>
      <c r="E53" s="94" t="s">
        <v>246</v>
      </c>
      <c r="G53" s="1"/>
    </row>
    <row r="54" spans="1:7">
      <c r="A54" s="227"/>
      <c r="B54" s="93" t="s">
        <v>294</v>
      </c>
      <c r="C54" s="94"/>
      <c r="D54" s="94" t="s">
        <v>237</v>
      </c>
      <c r="E54" s="94" t="s">
        <v>246</v>
      </c>
    </row>
    <row r="55" spans="1:7">
      <c r="A55" s="227"/>
      <c r="B55" s="93" t="s">
        <v>295</v>
      </c>
      <c r="C55" s="94"/>
      <c r="D55" s="94" t="s">
        <v>237</v>
      </c>
      <c r="E55" s="94" t="s">
        <v>246</v>
      </c>
    </row>
    <row r="56" spans="1:7">
      <c r="A56" s="227"/>
      <c r="B56" s="93"/>
      <c r="C56" s="94"/>
      <c r="D56" s="94"/>
      <c r="E56" s="94"/>
    </row>
    <row r="57" spans="1:7">
      <c r="A57" s="227" t="s">
        <v>151</v>
      </c>
      <c r="B57" s="102" t="s">
        <v>296</v>
      </c>
      <c r="C57" s="101" t="s">
        <v>265</v>
      </c>
      <c r="D57" s="101" t="s">
        <v>272</v>
      </c>
      <c r="E57" s="101"/>
    </row>
    <row r="58" spans="1:7">
      <c r="A58" s="227"/>
      <c r="B58" s="102" t="s">
        <v>297</v>
      </c>
      <c r="C58" s="101" t="s">
        <v>265</v>
      </c>
      <c r="D58" s="101" t="s">
        <v>269</v>
      </c>
      <c r="E58" s="101"/>
    </row>
    <row r="59" spans="1:7">
      <c r="A59" s="227"/>
      <c r="B59" s="102" t="s">
        <v>298</v>
      </c>
      <c r="C59" s="101" t="s">
        <v>265</v>
      </c>
      <c r="D59" s="101" t="s">
        <v>269</v>
      </c>
      <c r="E59" s="101"/>
    </row>
    <row r="60" spans="1:7">
      <c r="A60" s="227"/>
      <c r="B60" s="102" t="s">
        <v>299</v>
      </c>
      <c r="C60" s="101" t="s">
        <v>265</v>
      </c>
      <c r="D60" s="101" t="s">
        <v>272</v>
      </c>
      <c r="E60" s="101"/>
    </row>
    <row r="61" spans="1:7">
      <c r="A61" s="227"/>
      <c r="B61" s="102"/>
      <c r="C61" s="101"/>
      <c r="D61" s="101"/>
      <c r="E61" s="101"/>
    </row>
    <row r="62" spans="1:7">
      <c r="A62" s="227"/>
      <c r="B62" s="102"/>
      <c r="C62" s="101"/>
      <c r="D62" s="101"/>
      <c r="E62" s="101"/>
    </row>
    <row r="63" spans="1:7">
      <c r="A63" s="227" t="s">
        <v>152</v>
      </c>
      <c r="B63" s="93" t="s">
        <v>300</v>
      </c>
      <c r="C63" s="94" t="s">
        <v>265</v>
      </c>
      <c r="D63" s="94" t="s">
        <v>271</v>
      </c>
      <c r="E63" s="94"/>
    </row>
    <row r="64" spans="1:7">
      <c r="A64" s="227"/>
      <c r="B64" s="93" t="s">
        <v>301</v>
      </c>
      <c r="C64" s="94" t="s">
        <v>265</v>
      </c>
      <c r="D64" s="94" t="s">
        <v>271</v>
      </c>
      <c r="E64" s="94"/>
    </row>
    <row r="65" spans="1:5">
      <c r="A65" s="227"/>
      <c r="B65" s="93" t="s">
        <v>302</v>
      </c>
      <c r="C65" s="94" t="s">
        <v>265</v>
      </c>
      <c r="D65" s="94" t="s">
        <v>271</v>
      </c>
      <c r="E65" s="94"/>
    </row>
    <row r="66" spans="1:5">
      <c r="A66" s="227"/>
      <c r="B66" s="93" t="s">
        <v>303</v>
      </c>
      <c r="C66" s="94" t="s">
        <v>265</v>
      </c>
      <c r="D66" s="94" t="s">
        <v>271</v>
      </c>
      <c r="E66" s="94"/>
    </row>
    <row r="67" spans="1:5">
      <c r="A67" s="227"/>
      <c r="B67" s="93"/>
      <c r="C67" s="94"/>
      <c r="D67" s="94"/>
      <c r="E67" s="94"/>
    </row>
    <row r="68" spans="1:5">
      <c r="A68" s="227"/>
      <c r="B68" s="93"/>
      <c r="C68" s="94"/>
      <c r="D68" s="94"/>
      <c r="E68" s="94"/>
    </row>
    <row r="69" spans="1:5">
      <c r="A69" s="227" t="s">
        <v>153</v>
      </c>
      <c r="B69" s="102" t="s">
        <v>304</v>
      </c>
      <c r="C69" s="101" t="s">
        <v>265</v>
      </c>
      <c r="D69" s="101" t="s">
        <v>269</v>
      </c>
      <c r="E69" s="101"/>
    </row>
    <row r="70" spans="1:5">
      <c r="A70" s="227"/>
      <c r="B70" s="102" t="s">
        <v>305</v>
      </c>
      <c r="C70" s="101" t="s">
        <v>265</v>
      </c>
      <c r="D70" s="101" t="s">
        <v>269</v>
      </c>
      <c r="E70" s="101"/>
    </row>
    <row r="71" spans="1:5">
      <c r="A71" s="227"/>
      <c r="B71" s="102" t="s">
        <v>306</v>
      </c>
      <c r="C71" s="101" t="s">
        <v>265</v>
      </c>
      <c r="D71" s="101" t="s">
        <v>269</v>
      </c>
      <c r="E71" s="101"/>
    </row>
    <row r="72" spans="1:5">
      <c r="A72" s="227"/>
      <c r="B72" s="102" t="s">
        <v>307</v>
      </c>
      <c r="C72" s="101"/>
      <c r="D72" s="101" t="s">
        <v>269</v>
      </c>
      <c r="E72" s="101"/>
    </row>
    <row r="73" spans="1:5">
      <c r="A73" s="227"/>
      <c r="B73" s="102" t="s">
        <v>308</v>
      </c>
      <c r="C73" s="101"/>
      <c r="D73" s="101" t="s">
        <v>237</v>
      </c>
      <c r="E73" s="101" t="s">
        <v>246</v>
      </c>
    </row>
    <row r="74" spans="1:5">
      <c r="A74" s="227"/>
      <c r="B74" s="102" t="s">
        <v>309</v>
      </c>
      <c r="C74" s="101"/>
      <c r="D74" s="101" t="s">
        <v>237</v>
      </c>
      <c r="E74" s="101" t="s">
        <v>246</v>
      </c>
    </row>
    <row r="75" spans="1:5">
      <c r="A75" s="227" t="s">
        <v>154</v>
      </c>
      <c r="B75" s="93" t="s">
        <v>310</v>
      </c>
      <c r="C75" s="94" t="s">
        <v>249</v>
      </c>
      <c r="D75" s="94" t="s">
        <v>253</v>
      </c>
      <c r="E75" s="94" t="s">
        <v>260</v>
      </c>
    </row>
    <row r="76" spans="1:5">
      <c r="A76" s="227"/>
      <c r="B76" s="93" t="s">
        <v>311</v>
      </c>
      <c r="C76" s="94" t="s">
        <v>249</v>
      </c>
      <c r="D76" s="94" t="s">
        <v>253</v>
      </c>
      <c r="E76" s="94" t="s">
        <v>260</v>
      </c>
    </row>
    <row r="77" spans="1:5">
      <c r="A77" s="227"/>
      <c r="B77" s="93" t="s">
        <v>312</v>
      </c>
      <c r="C77" s="94" t="s">
        <v>249</v>
      </c>
      <c r="D77" s="94" t="s">
        <v>253</v>
      </c>
      <c r="E77" s="94" t="s">
        <v>260</v>
      </c>
    </row>
    <row r="78" spans="1:5">
      <c r="A78" s="227"/>
      <c r="B78" s="93" t="s">
        <v>313</v>
      </c>
      <c r="C78" s="94"/>
      <c r="D78" s="94" t="s">
        <v>253</v>
      </c>
      <c r="E78" s="94" t="s">
        <v>260</v>
      </c>
    </row>
    <row r="79" spans="1:5">
      <c r="A79" s="227"/>
      <c r="B79" s="93" t="s">
        <v>314</v>
      </c>
      <c r="C79" s="96"/>
      <c r="D79" s="96"/>
      <c r="E79" s="94" t="s">
        <v>289</v>
      </c>
    </row>
    <row r="80" spans="1:5">
      <c r="A80" s="227"/>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55</vt:i4>
      </vt:variant>
    </vt:vector>
  </HeadingPairs>
  <TitlesOfParts>
    <vt:vector size="105" baseType="lpstr">
      <vt:lpstr>CS_ELECT</vt:lpstr>
      <vt:lpstr>HSS_ELECT</vt:lpstr>
      <vt:lpstr>LANG_ELECT</vt:lpstr>
      <vt:lpstr>NSCI_ELECT</vt:lpstr>
      <vt:lpstr>TECH_ELECT</vt:lpstr>
      <vt:lpstr>RES_ELECT</vt:lpstr>
      <vt:lpstr>ELEC210</vt:lpstr>
      <vt:lpstr>ELEC221</vt:lpstr>
      <vt:lpstr>ELEC252</vt:lpstr>
      <vt:lpstr>ELEC270</vt:lpstr>
      <vt:lpstr>ELEC271</vt:lpstr>
      <vt:lpstr>ELEC273</vt:lpstr>
      <vt:lpstr>ELEC274</vt:lpstr>
      <vt:lpstr>ELEC278</vt:lpstr>
      <vt:lpstr>ELEC280</vt:lpstr>
      <vt:lpstr>ELEC299</vt:lpstr>
      <vt:lpstr>ELEC310</vt:lpstr>
      <vt:lpstr>ELEC323</vt:lpstr>
      <vt:lpstr>ELEC324</vt:lpstr>
      <vt:lpstr>ELEC326</vt:lpstr>
      <vt:lpstr>ELEC333</vt:lpstr>
      <vt:lpstr>ELEC344</vt:lpstr>
      <vt:lpstr>ELEC353</vt:lpstr>
      <vt:lpstr>ELEC371</vt:lpstr>
      <vt:lpstr>ELEC374</vt:lpstr>
      <vt:lpstr>ELEC377</vt:lpstr>
      <vt:lpstr>ELEC381</vt:lpstr>
      <vt:lpstr>ELEC390</vt:lpstr>
      <vt:lpstr>ELEC408</vt:lpstr>
      <vt:lpstr>ELEC421</vt:lpstr>
      <vt:lpstr>ELEC433</vt:lpstr>
      <vt:lpstr>ELEC444</vt:lpstr>
      <vt:lpstr>ELEC454</vt:lpstr>
      <vt:lpstr>ELEC461</vt:lpstr>
      <vt:lpstr>ELEC464</vt:lpstr>
      <vt:lpstr>ELEC471</vt:lpstr>
      <vt:lpstr>ELEC474</vt:lpstr>
      <vt:lpstr>ELEC490</vt:lpstr>
      <vt:lpstr>ELEC491</vt:lpstr>
      <vt:lpstr>ELEC492</vt:lpstr>
      <vt:lpstr>ELEC497</vt:lpstr>
      <vt:lpstr>ELEC498</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CIS!Print_Area</vt:lpstr>
      <vt:lpstr>CS_ELECT!Print_Area</vt:lpstr>
      <vt:lpstr>ELEC210!Print_Area</vt:lpstr>
      <vt:lpstr>ELEC221!Print_Area</vt:lpstr>
      <vt:lpstr>ELEC252!Print_Area</vt:lpstr>
      <vt:lpstr>ELEC270!Print_Area</vt:lpstr>
      <vt:lpstr>ELEC271!Print_Area</vt:lpstr>
      <vt:lpstr>ELEC273!Print_Area</vt:lpstr>
      <vt:lpstr>ELEC274!Print_Area</vt:lpstr>
      <vt:lpstr>ELEC278!Print_Area</vt:lpstr>
      <vt:lpstr>ELEC280!Print_Area</vt:lpstr>
      <vt:lpstr>ELEC299!Print_Area</vt:lpstr>
      <vt:lpstr>ELEC310!Print_Area</vt:lpstr>
      <vt:lpstr>ELEC323!Print_Area</vt:lpstr>
      <vt:lpstr>ELEC324!Print_Area</vt:lpstr>
      <vt:lpstr>ELEC326!Print_Area</vt:lpstr>
      <vt:lpstr>ELEC333!Print_Area</vt:lpstr>
      <vt:lpstr>ELEC344!Print_Area</vt:lpstr>
      <vt:lpstr>ELEC353!Print_Area</vt:lpstr>
      <vt:lpstr>ELEC371!Print_Area</vt:lpstr>
      <vt:lpstr>ELEC374!Print_Area</vt:lpstr>
      <vt:lpstr>ELEC377!Print_Area</vt:lpstr>
      <vt:lpstr>ELEC381!Print_Area</vt:lpstr>
      <vt:lpstr>ELEC390!Print_Area</vt:lpstr>
      <vt:lpstr>ELEC408!Print_Area</vt:lpstr>
      <vt:lpstr>ELEC421!Print_Area</vt:lpstr>
      <vt:lpstr>ELEC433!Print_Area</vt:lpstr>
      <vt:lpstr>ELEC444!Print_Area</vt:lpstr>
      <vt:lpstr>ELEC454!Print_Area</vt:lpstr>
      <vt:lpstr>ELEC461!Print_Area</vt:lpstr>
      <vt:lpstr>ELEC464!Print_Area</vt:lpstr>
      <vt:lpstr>ELEC471!Print_Area</vt:lpstr>
      <vt:lpstr>ELEC474!Print_Area</vt:lpstr>
      <vt:lpstr>ELEC490!Print_Area</vt:lpstr>
      <vt:lpstr>ELEC491!Print_Area</vt:lpstr>
      <vt:lpstr>ELEC492!Print_Area</vt:lpstr>
      <vt:lpstr>ELEC497!Print_Area</vt:lpstr>
      <vt:lpstr>ELEC498!Print_Area</vt:lpstr>
      <vt:lpstr>FIC!Print_Area</vt:lpstr>
      <vt:lpstr>HSS_ELECT!Print_Area</vt:lpstr>
      <vt:lpstr>LANG_ELECT!Print_Area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2015-08-23T19:02:50Z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