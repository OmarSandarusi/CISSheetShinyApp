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54" activeTab="60"/>
  </bookViews>
  <sheets>
    <sheet name="CS_ELECT" sheetId="20" r:id="rId1"/>
    <sheet name="HSS_ELECT" sheetId="21" r:id="rId2"/>
    <sheet name="LANG_ELECT" sheetId="22" r:id="rId3"/>
    <sheet name="NSCI_ELECT" sheetId="25" r:id="rId4"/>
    <sheet name="TECH_ELECT" sheetId="29" r:id="rId5"/>
    <sheet name="RES_ELECT" sheetId="28" r:id="rId6"/>
    <sheet name="MDEP437" sheetId="51" r:id="rId7"/>
    <sheet name="MECH213" sheetId="52" r:id="rId8"/>
    <sheet name="MECH215" sheetId="53" r:id="rId9"/>
    <sheet name="MECH216" sheetId="54" r:id="rId10"/>
    <sheet name="MECH221" sheetId="55" r:id="rId11"/>
    <sheet name="MECH228" sheetId="56" r:id="rId12"/>
    <sheet name="MECH230" sheetId="57" r:id="rId13"/>
    <sheet name="MECH241" sheetId="58" r:id="rId14"/>
    <sheet name="MECH270" sheetId="59" r:id="rId15"/>
    <sheet name="MECH321" sheetId="60" r:id="rId16"/>
    <sheet name="MECH323" sheetId="61" r:id="rId17"/>
    <sheet name="MECH328" sheetId="62" r:id="rId18"/>
    <sheet name="MECH330" sheetId="63" r:id="rId19"/>
    <sheet name="MECH333" sheetId="64" r:id="rId20"/>
    <sheet name="MECH341" sheetId="65" r:id="rId21"/>
    <sheet name="MECH346" sheetId="66" r:id="rId22"/>
    <sheet name="MECH350" sheetId="67" r:id="rId23"/>
    <sheet name="MECH361" sheetId="68" r:id="rId24"/>
    <sheet name="MECH370" sheetId="69" r:id="rId25"/>
    <sheet name="MECH371" sheetId="70" r:id="rId26"/>
    <sheet name="MECH393" sheetId="71" r:id="rId27"/>
    <sheet name="MECH396" sheetId="72" r:id="rId28"/>
    <sheet name="MECH397" sheetId="73" r:id="rId29"/>
    <sheet name="MECH398" sheetId="74" r:id="rId30"/>
    <sheet name="MECH399" sheetId="75" r:id="rId31"/>
    <sheet name="MECH420" sheetId="76" r:id="rId32"/>
    <sheet name="MECH423" sheetId="77" r:id="rId33"/>
    <sheet name="MECH424" sheetId="78" r:id="rId34"/>
    <sheet name="MECH430" sheetId="79" r:id="rId35"/>
    <sheet name="MECH435" sheetId="80" r:id="rId36"/>
    <sheet name="MECH439" sheetId="81" r:id="rId37"/>
    <sheet name="MECH441" sheetId="82" r:id="rId38"/>
    <sheet name="MECH444" sheetId="83" r:id="rId39"/>
    <sheet name="MECH448" sheetId="84" r:id="rId40"/>
    <sheet name="MECH452" sheetId="85" r:id="rId41"/>
    <sheet name="MECH455" sheetId="86" r:id="rId42"/>
    <sheet name="MECH456" sheetId="87" r:id="rId43"/>
    <sheet name="MECH458" sheetId="88" r:id="rId44"/>
    <sheet name="MECH460" sheetId="89" r:id="rId45"/>
    <sheet name="MECH461" sheetId="90" r:id="rId46"/>
    <sheet name="MECH462" sheetId="91" r:id="rId47"/>
    <sheet name="MECH463" sheetId="92" r:id="rId48"/>
    <sheet name="MECH464" sheetId="93" r:id="rId49"/>
    <sheet name="MECH465" sheetId="94" r:id="rId50"/>
    <sheet name="MECH470" sheetId="95" r:id="rId51"/>
    <sheet name="MECH476" sheetId="96" r:id="rId52"/>
    <sheet name="MECH478" sheetId="97" r:id="rId53"/>
    <sheet name="MECH479" sheetId="98" r:id="rId54"/>
    <sheet name="MECH480" sheetId="99" r:id="rId55"/>
    <sheet name="MECH481" sheetId="100" r:id="rId56"/>
    <sheet name="MECH482" sheetId="101" r:id="rId57"/>
    <sheet name="MECH483" sheetId="102" r:id="rId58"/>
    <sheet name="MECH484" sheetId="103" r:id="rId59"/>
    <sheet name="MECH494" sheetId="104" r:id="rId60"/>
    <sheet name="MECH495" sheetId="105" r:id="rId61"/>
    <sheet name="CIS" sheetId="8" r:id="rId62"/>
    <sheet name="FIC" sheetId="47" r:id="rId63"/>
    <sheet name="3.1.1" sheetId="18" r:id="rId64"/>
    <sheet name="3.1.1a" sheetId="48" r:id="rId65"/>
    <sheet name="3.1.1b" sheetId="49" r:id="rId66"/>
    <sheet name="3.1.1c" sheetId="50" r:id="rId67"/>
    <sheet name="3.1.2" sheetId="38" r:id="rId68"/>
    <sheet name="LU" sheetId="30" r:id="rId69"/>
  </sheets>
  <functionGroups builtInGroupCount="18"/>
  <externalReferences>
    <externalReference r:id="rId70"/>
  </externalReferences>
  <definedNames>
    <definedName name="CLevelRef1" localSheetId="66">'3.1.1c'!$A$4:$A$103</definedName>
    <definedName name="CLevelRef1">'3.1.1b'!$A$4:$A$103</definedName>
    <definedName name="CLevelRef2" localSheetId="64">#REF!</definedName>
    <definedName name="CLevelRef2" localSheetId="66">'3.1.1c'!$A$4:$A$103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 localSheetId="35">#REF!</definedName>
    <definedName name="CLevelRef2" localSheetId="36">#REF!</definedName>
    <definedName name="CLevelRef2" localSheetId="37">#REF!</definedName>
    <definedName name="CLevelRef2" localSheetId="38">#REF!</definedName>
    <definedName name="CLevelRef2" localSheetId="39">#REF!</definedName>
    <definedName name="CLevelRef2" localSheetId="40">#REF!</definedName>
    <definedName name="CLevelRef2" localSheetId="41">#REF!</definedName>
    <definedName name="CLevelRef2" localSheetId="42">#REF!</definedName>
    <definedName name="CLevelRef2" localSheetId="43">#REF!</definedName>
    <definedName name="CLevelRef2" localSheetId="44">#REF!</definedName>
    <definedName name="CLevelRef2" localSheetId="45">#REF!</definedName>
    <definedName name="CLevelRef2" localSheetId="46">#REF!</definedName>
    <definedName name="CLevelRef2" localSheetId="47">#REF!</definedName>
    <definedName name="CLevelRef2" localSheetId="48">#REF!</definedName>
    <definedName name="CLevelRef2" localSheetId="49">#REF!</definedName>
    <definedName name="CLevelRef2" localSheetId="50">#REF!</definedName>
    <definedName name="CLevelRef2" localSheetId="51">#REF!</definedName>
    <definedName name="CLevelRef2" localSheetId="52">#REF!</definedName>
    <definedName name="CLevelRef2" localSheetId="53">#REF!</definedName>
    <definedName name="CLevelRef2" localSheetId="54">#REF!</definedName>
    <definedName name="CLevelRef2" localSheetId="55">#REF!</definedName>
    <definedName name="CLevelRef2" localSheetId="56">#REF!</definedName>
    <definedName name="CLevelRef2" localSheetId="57">#REF!</definedName>
    <definedName name="CLevelRef2" localSheetId="58">#REF!</definedName>
    <definedName name="CLevelRef2" localSheetId="59">#REF!</definedName>
    <definedName name="CLevelRef2" localSheetId="60">#REF!</definedName>
    <definedName name="CLevelRef2">#REF!</definedName>
    <definedName name="CLkUpRef">LU!$A$2:$C$97</definedName>
    <definedName name="CMapRef1" localSheetId="64">'3.1.1a'!$C$5:$J$107</definedName>
    <definedName name="CMapRef1">'3.1.1'!$C$5:$J$107</definedName>
    <definedName name="CMapRef2" localSheetId="64">'3.1.1a'!$C$5:$J$104</definedName>
    <definedName name="CMapRef2" localSheetId="66">#REF!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 localSheetId="35">#REF!</definedName>
    <definedName name="CMapRef2" localSheetId="36">#REF!</definedName>
    <definedName name="CMapRef2" localSheetId="37">#REF!</definedName>
    <definedName name="CMapRef2" localSheetId="38">#REF!</definedName>
    <definedName name="CMapRef2" localSheetId="39">#REF!</definedName>
    <definedName name="CMapRef2" localSheetId="40">#REF!</definedName>
    <definedName name="CMapRef2" localSheetId="41">#REF!</definedName>
    <definedName name="CMapRef2" localSheetId="42">#REF!</definedName>
    <definedName name="CMapRef2" localSheetId="43">#REF!</definedName>
    <definedName name="CMapRef2" localSheetId="44">#REF!</definedName>
    <definedName name="CMapRef2" localSheetId="45">#REF!</definedName>
    <definedName name="CMapRef2" localSheetId="46">#REF!</definedName>
    <definedName name="CMapRef2" localSheetId="47">#REF!</definedName>
    <definedName name="CMapRef2" localSheetId="48">#REF!</definedName>
    <definedName name="CMapRef2" localSheetId="49">#REF!</definedName>
    <definedName name="CMapRef2" localSheetId="50">#REF!</definedName>
    <definedName name="CMapRef2" localSheetId="51">#REF!</definedName>
    <definedName name="CMapRef2" localSheetId="52">#REF!</definedName>
    <definedName name="CMapRef2" localSheetId="53">#REF!</definedName>
    <definedName name="CMapRef2" localSheetId="54">#REF!</definedName>
    <definedName name="CMapRef2" localSheetId="55">#REF!</definedName>
    <definedName name="CMapRef2" localSheetId="56">#REF!</definedName>
    <definedName name="CMapRef2" localSheetId="57">#REF!</definedName>
    <definedName name="CMapRef2" localSheetId="58">#REF!</definedName>
    <definedName name="CMapRef2" localSheetId="59">#REF!</definedName>
    <definedName name="CMapRef2" localSheetId="60">#REF!</definedName>
    <definedName name="CMapRef2">#REF!</definedName>
    <definedName name="CNameRef" localSheetId="62">[1]LU!$A$2:$A$101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63">'3.1.1'!$A$1:$J$67</definedName>
    <definedName name="_xlnm.Print_Area" localSheetId="64">'3.1.1a'!$A$1:$J$67</definedName>
    <definedName name="_xlnm.Print_Area" localSheetId="67">'3.1.2'!$A$1:$E$80</definedName>
    <definedName name="_xlnm.Print_Area" localSheetId="61">CIS!$A$1:$N$57</definedName>
    <definedName name="_xlnm.Print_Area" localSheetId="0">CS_ELECT!$A$1:$N$58</definedName>
    <definedName name="_xlnm.Print_Area" localSheetId="62">FIC!$A$1:$N$57</definedName>
    <definedName name="_xlnm.Print_Area" localSheetId="1">HSS_ELECT!$A$1:$N$58</definedName>
    <definedName name="_xlnm.Print_Area" localSheetId="2">LANG_ELECT!$A$1:$N$58</definedName>
    <definedName name="_xlnm.Print_Area" localSheetId="6">MDEP437!$A$1:$N$57</definedName>
    <definedName name="_xlnm.Print_Area" localSheetId="7">MECH213!$A$1:$N$57</definedName>
    <definedName name="_xlnm.Print_Area" localSheetId="8">MECH215!$A$1:$N$57</definedName>
    <definedName name="_xlnm.Print_Area" localSheetId="9">MECH216!$A$1:$N$57</definedName>
    <definedName name="_xlnm.Print_Area" localSheetId="10">MECH221!$A$1:$N$57</definedName>
    <definedName name="_xlnm.Print_Area" localSheetId="11">MECH228!$A$1:$N$57</definedName>
    <definedName name="_xlnm.Print_Area" localSheetId="12">MECH230!$A$1:$N$57</definedName>
    <definedName name="_xlnm.Print_Area" localSheetId="13">MECH241!$A$1:$N$57</definedName>
    <definedName name="_xlnm.Print_Area" localSheetId="14">MECH270!$A$1:$N$57</definedName>
    <definedName name="_xlnm.Print_Area" localSheetId="15">MECH321!$A$1:$N$57</definedName>
    <definedName name="_xlnm.Print_Area" localSheetId="16">MECH323!$A$1:$N$57</definedName>
    <definedName name="_xlnm.Print_Area" localSheetId="17">MECH328!$A$1:$N$57</definedName>
    <definedName name="_xlnm.Print_Area" localSheetId="18">MECH330!$A$1:$N$57</definedName>
    <definedName name="_xlnm.Print_Area" localSheetId="19">MECH333!$A$1:$N$57</definedName>
    <definedName name="_xlnm.Print_Area" localSheetId="20">MECH341!$A$1:$N$57</definedName>
    <definedName name="_xlnm.Print_Area" localSheetId="21">MECH346!$A$1:$N$57</definedName>
    <definedName name="_xlnm.Print_Area" localSheetId="22">MECH350!$A$1:$N$57</definedName>
    <definedName name="_xlnm.Print_Area" localSheetId="23">MECH361!$A$1:$N$57</definedName>
    <definedName name="_xlnm.Print_Area" localSheetId="24">MECH370!$A$1:$N$57</definedName>
    <definedName name="_xlnm.Print_Area" localSheetId="25">MECH371!$A$1:$N$57</definedName>
    <definedName name="_xlnm.Print_Area" localSheetId="26">MECH393!$A$1:$N$57</definedName>
    <definedName name="_xlnm.Print_Area" localSheetId="27">MECH396!$A$1:$N$57</definedName>
    <definedName name="_xlnm.Print_Area" localSheetId="28">MECH397!$A$1:$N$57</definedName>
    <definedName name="_xlnm.Print_Area" localSheetId="29">MECH398!$A$1:$N$57</definedName>
    <definedName name="_xlnm.Print_Area" localSheetId="30">MECH399!$A$1:$N$57</definedName>
    <definedName name="_xlnm.Print_Area" localSheetId="31">MECH420!$A$1:$N$57</definedName>
    <definedName name="_xlnm.Print_Area" localSheetId="32">MECH423!$A$1:$N$57</definedName>
    <definedName name="_xlnm.Print_Area" localSheetId="33">MECH424!$A$1:$N$57</definedName>
    <definedName name="_xlnm.Print_Area" localSheetId="34">MECH430!$A$1:$N$57</definedName>
    <definedName name="_xlnm.Print_Area" localSheetId="35">MECH435!$A$1:$N$57</definedName>
    <definedName name="_xlnm.Print_Area" localSheetId="36">MECH439!$A$1:$N$57</definedName>
    <definedName name="_xlnm.Print_Area" localSheetId="37">MECH441!$A$1:$N$57</definedName>
    <definedName name="_xlnm.Print_Area" localSheetId="38">MECH444!$A$1:$N$57</definedName>
    <definedName name="_xlnm.Print_Area" localSheetId="39">MECH448!$A$1:$N$57</definedName>
    <definedName name="_xlnm.Print_Area" localSheetId="40">MECH452!$A$1:$N$57</definedName>
    <definedName name="_xlnm.Print_Area" localSheetId="41">MECH455!$A$1:$N$57</definedName>
    <definedName name="_xlnm.Print_Area" localSheetId="42">MECH456!$A$1:$N$57</definedName>
    <definedName name="_xlnm.Print_Area" localSheetId="43">MECH458!$A$1:$N$57</definedName>
    <definedName name="_xlnm.Print_Area" localSheetId="44">MECH460!$A$1:$N$57</definedName>
    <definedName name="_xlnm.Print_Area" localSheetId="45">MECH461!$A$1:$N$57</definedName>
    <definedName name="_xlnm.Print_Area" localSheetId="46">MECH462!$A$1:$N$57</definedName>
    <definedName name="_xlnm.Print_Area" localSheetId="47">MECH463!$A$1:$N$57</definedName>
    <definedName name="_xlnm.Print_Area" localSheetId="48">MECH464!$A$1:$N$57</definedName>
    <definedName name="_xlnm.Print_Area" localSheetId="49">MECH465!$A$1:$N$57</definedName>
    <definedName name="_xlnm.Print_Area" localSheetId="50">MECH470!$A$1:$N$57</definedName>
    <definedName name="_xlnm.Print_Area" localSheetId="51">MECH476!$A$1:$N$57</definedName>
    <definedName name="_xlnm.Print_Area" localSheetId="52">MECH478!$A$1:$N$57</definedName>
    <definedName name="_xlnm.Print_Area" localSheetId="53">MECH479!$A$1:$N$57</definedName>
    <definedName name="_xlnm.Print_Area" localSheetId="54">MECH480!$A$1:$N$57</definedName>
    <definedName name="_xlnm.Print_Area" localSheetId="55">MECH481!$A$1:$N$57</definedName>
    <definedName name="_xlnm.Print_Area" localSheetId="56">MECH482!$A$1:$N$57</definedName>
    <definedName name="_xlnm.Print_Area" localSheetId="57">MECH483!$A$1:$N$57</definedName>
    <definedName name="_xlnm.Print_Area" localSheetId="58">MECH484!$A$1:$N$57</definedName>
    <definedName name="_xlnm.Print_Area" localSheetId="59">MECH494!$A$1:$N$57</definedName>
    <definedName name="_xlnm.Print_Area" localSheetId="60">MECH495!$A$1:$N$57</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105" l="1"/>
  <c r="K10" i="105"/>
  <c r="I10" i="105"/>
  <c r="G10" i="105"/>
  <c r="E10" i="105"/>
  <c r="M10" i="104"/>
  <c r="K10" i="104"/>
  <c r="I10" i="104"/>
  <c r="G10" i="104"/>
  <c r="E10" i="104"/>
  <c r="M10" i="103"/>
  <c r="K10" i="103"/>
  <c r="I10" i="103"/>
  <c r="G10" i="103"/>
  <c r="E10" i="103"/>
  <c r="M10" i="102"/>
  <c r="K10" i="102"/>
  <c r="I10" i="102"/>
  <c r="G10" i="102"/>
  <c r="E10" i="102"/>
  <c r="M10" i="101"/>
  <c r="K10" i="101"/>
  <c r="I10" i="101"/>
  <c r="G10" i="101"/>
  <c r="E10" i="101"/>
  <c r="M10" i="100"/>
  <c r="K10" i="100"/>
  <c r="I10" i="100"/>
  <c r="G10" i="100"/>
  <c r="E10" i="100"/>
  <c r="M10" i="99"/>
  <c r="K10" i="99"/>
  <c r="I10" i="99"/>
  <c r="G10" i="99"/>
  <c r="E10" i="99"/>
  <c r="M10" i="98"/>
  <c r="K10" i="98"/>
  <c r="I10" i="98"/>
  <c r="G10" i="98"/>
  <c r="E10" i="98"/>
  <c r="M10" i="97"/>
  <c r="K10" i="97"/>
  <c r="I10" i="97"/>
  <c r="G10" i="97"/>
  <c r="E10" i="97"/>
  <c r="M10" i="96"/>
  <c r="K10" i="96"/>
  <c r="I10" i="96"/>
  <c r="G10" i="96"/>
  <c r="E10" i="96"/>
  <c r="M10" i="95"/>
  <c r="K10" i="95"/>
  <c r="I10" i="95"/>
  <c r="G10" i="95"/>
  <c r="E10" i="95"/>
  <c r="M10" i="94"/>
  <c r="K10" i="94"/>
  <c r="I10" i="94"/>
  <c r="G10" i="94"/>
  <c r="E10" i="94"/>
  <c r="M10" i="93"/>
  <c r="K10" i="93"/>
  <c r="I10" i="93"/>
  <c r="G10" i="93"/>
  <c r="E10" i="93"/>
  <c r="M10" i="92"/>
  <c r="K10" i="92"/>
  <c r="I10" i="92"/>
  <c r="G10" i="92"/>
  <c r="E10" i="92"/>
  <c r="M10" i="91"/>
  <c r="K10" i="91"/>
  <c r="I10" i="91"/>
  <c r="G10" i="91"/>
  <c r="E10" i="91"/>
  <c r="M10" i="90"/>
  <c r="K10" i="90"/>
  <c r="I10" i="90"/>
  <c r="G10" i="90"/>
  <c r="E10" i="90"/>
  <c r="M10" i="89"/>
  <c r="K10" i="89"/>
  <c r="I10" i="89"/>
  <c r="G10" i="89"/>
  <c r="E10" i="89"/>
  <c r="M10" i="88"/>
  <c r="K10" i="88"/>
  <c r="I10" i="88"/>
  <c r="G10" i="88"/>
  <c r="E10" i="88"/>
  <c r="M10" i="87"/>
  <c r="K10" i="87"/>
  <c r="I10" i="87"/>
  <c r="G10" i="87"/>
  <c r="E10" i="87"/>
  <c r="M10" i="86"/>
  <c r="K10" i="86"/>
  <c r="I10" i="86"/>
  <c r="G10" i="86"/>
  <c r="E10" i="86"/>
  <c r="M10" i="85"/>
  <c r="K10" i="85"/>
  <c r="I10" i="85"/>
  <c r="G10" i="85"/>
  <c r="E10" i="85"/>
  <c r="M10" i="84"/>
  <c r="K10" i="84"/>
  <c r="I10" i="84"/>
  <c r="G10" i="84"/>
  <c r="E10" i="84"/>
  <c r="M10" i="83"/>
  <c r="K10" i="83"/>
  <c r="I10" i="83"/>
  <c r="G10" i="83"/>
  <c r="E10" i="83"/>
  <c r="M10" i="82"/>
  <c r="K10" i="82"/>
  <c r="I10" i="82"/>
  <c r="G10" i="82"/>
  <c r="E10" i="82"/>
  <c r="M10" i="81"/>
  <c r="K10" i="81"/>
  <c r="I10" i="81"/>
  <c r="G10" i="81"/>
  <c r="E10" i="81"/>
  <c r="M10" i="80"/>
  <c r="K10" i="80"/>
  <c r="I10" i="80"/>
  <c r="G10" i="80"/>
  <c r="E10" i="80"/>
  <c r="M10" i="79"/>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<sst xmlns="http://schemas.openxmlformats.org/spreadsheetml/2006/main" count="8825" uniqueCount="487">
  <si>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</si>
  <si>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</si>
  <si>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</si>
  <si>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</si>
  <si>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</si>
  <si>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</si>
  <si>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</si>
  <si>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</si>
  <si>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</si>
  <si>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</si>
  <si>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</si>
  <si>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</si>
  <si>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</si>
  <si>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</si>
  <si>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</si>
  <si>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</si>
  <si>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</si>
  <si>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</si>
  <si>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</si>
  <si>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</si>
  <si>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</si>
  <si>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</si>
  <si>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</si>
  <si>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</si>
  <si>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</si>
  <si>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</si>
  <si>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</si>
  <si>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</si>
  <si>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</si>
  <si>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</si>
  <si>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</si>
  <si>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</si>
  <si>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</si>
  <si>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</si>
  <si>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</si>
  <si>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</si>
  <si>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</si>
  <si>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</si>
  <si>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</si>
  <si>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</si>
  <si>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</si>
  <si>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</si>
  <si>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</si>
  <si>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</si>
  <si>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</si>
  <si>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</si>
  <si>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</si>
  <si>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</si>
  <si>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</si>
  <si>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</si>
  <si>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</si>
  <si>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</si>
  <si>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</si>
  <si>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</si>
  <si>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</si>
  <si>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</si>
  <si>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</si>
  <si>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</si>
  <si>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</si>
  <si>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</si>
  <si>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</si>
  <si>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</si>
  <si>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</si>
  <si>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</si>
  <si>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</si>
  <si>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</si>
  <si>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</si>
  <si>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</si>
  <si>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</si>
  <si>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</si>
  <si>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</si>
  <si>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</si>
  <si>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</si>
  <si>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</si>
  <si>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</si>
  <si>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</si>
  <si>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</si>
  <si>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</si>
  <si>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</si>
  <si>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</si>
  <si>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</si>
  <si>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</si>
  <si>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</si>
  <si>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</si>
  <si>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</si>
  <si>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</si>
  <si>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</si>
  <si>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</si>
  <si>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</si>
  <si>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</si>
  <si>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</si>
  <si>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</si>
  <si>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</si>
  <si>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</si>
  <si>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</si>
  <si>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</si>
  <si>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</si>
  <si>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</si>
  <si>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</si>
  <si>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</si>
  <si>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</si>
  <si>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</si>
  <si>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</si>
  <si>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</si>
  <si>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</si>
  <si>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</si>
  <si>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</si>
  <si>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</si>
  <si>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</si>
  <si>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</si>
  <si>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</si>
  <si>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</si>
  <si>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</si>
  <si>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</si>
  <si>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</si>
  <si>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</si>
  <si>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</si>
  <si>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</si>
  <si>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</si>
  <si>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</si>
  <si>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</si>
  <si>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</si>
  <si>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</si>
  <si>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</si>
  <si>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</si>
  <si>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</si>
  <si>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</si>
  <si>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</si>
  <si>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</si>
  <si>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</si>
  <si>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</si>
  <si>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</si>
  <si>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</si>
  <si>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</si>
  <si>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</si>
  <si>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</si>
  <si>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</si>
  <si>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</si>
  <si>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</si>
  <si>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</si>
  <si>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</si>
  <si>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</si>
  <si>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</si>
  <si>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</si>
  <si>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</si>
  <si>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</si>
  <si>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</si>
  <si>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</si>
  <si>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</si>
  <si>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</si>
  <si>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</si>
  <si>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</si>
  <si>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</si>
  <si>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</si>
  <si>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</si>
  <si>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</si>
  <si>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</si>
  <si>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</si>
  <si>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</si>
  <si>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</si>
  <si>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</si>
  <si>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</si>
  <si>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</si>
  <si>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</si>
  <si>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</si>
  <si>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</si>
  <si>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</si>
  <si>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</si>
  <si>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</si>
  <si>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</si>
  <si>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</si>
  <si>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</si>
  <si>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</si>
  <si>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</si>
  <si>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</si>
  <si>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</si>
  <si>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</si>
  <si>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</si>
  <si>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</si>
  <si>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</si>
  <si>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</si>
  <si>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</si>
  <si>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</si>
  <si>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</si>
  <si>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</si>
  <si>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</si>
  <si>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</si>
  <si>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</si>
  <si>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</si>
  <si>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</si>
  <si>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</si>
  <si>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</si>
  <si>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</si>
  <si>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</si>
  <si>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</si>
  <si>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</si>
  <si>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</si>
  <si>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</si>
  <si>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</si>
  <si>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</si>
  <si>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</si>
  <si>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</si>
  <si>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</si>
  <si>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</si>
  <si>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</si>
  <si>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</si>
  <si>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</si>
  <si>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</si>
  <si>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</si>
  <si>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</si>
  <si>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</si>
  <si>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</si>
  <si>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</si>
  <si>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</si>
  <si>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</si>
  <si>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</si>
  <si>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</si>
  <si>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</si>
  <si>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</si>
  <si>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</si>
  <si>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</si>
  <si>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</si>
  <si>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</si>
  <si>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</si>
  <si>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</si>
  <si>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</si>
  <si>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</si>
  <si>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</si>
  <si>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</si>
  <si>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</si>
  <si>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</si>
  <si>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</si>
  <si>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</si>
  <si>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</si>
  <si>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</si>
  <si>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</si>
  <si>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</si>
  <si>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</si>
  <si>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</si>
  <si>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</si>
  <si>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</si>
  <si>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</si>
  <si>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</si>
  <si>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</si>
  <si>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</si>
  <si>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</si>
  <si>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</si>
  <si>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</si>
  <si>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</si>
  <si>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</si>
  <si>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</si>
  <si>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</si>
  <si>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</si>
  <si>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</si>
  <si>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</si>
  <si>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</si>
  <si>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</si>
  <si>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</si>
  <si>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</si>
  <si>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</si>
  <si>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</si>
  <si>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</si>
  <si>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</si>
  <si>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</si>
  <si>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</si>
  <si>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</si>
  <si>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</si>
  <si>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</si>
  <si>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</si>
  <si>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</si>
  <si>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</si>
  <si>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</si>
  <si>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</si>
  <si>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</si>
  <si>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</si>
  <si>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</si>
  <si>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</si>
  <si>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</si>
  <si>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</si>
  <si>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</si>
  <si>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</si>
  <si>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</si>
  <si>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</si>
  <si>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</si>
  <si>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</si>
  <si>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</si>
  <si>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</si>
  <si>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</si>
  <si>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</si>
  <si>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</si>
  <si>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</si>
  <si>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</si>
  <si>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</si>
  <si>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</si>
  <si>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</si>
  <si>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</si>
  <si>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</si>
  <si>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</si>
  <si>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</si>
  <si>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</si>
  <si>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</si>
  <si>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</si>
  <si>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</si>
  <si>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</si>
  <si>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</si>
  <si>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</si>
  <si>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</si>
  <si>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</si>
  <si>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</si>
  <si>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</si>
  <si>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</si>
  <si>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</si>
  <si>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</si>
  <si>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</si>
  <si>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</si>
  <si>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</si>
  <si>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</si>
  <si>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</si>
  <si>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</si>
  <si>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</si>
  <si>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</si>
  <si>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</si>
  <si>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</si>
  <si>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</si>
  <si>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</si>
  <si>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</si>
  <si>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</si>
  <si>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</si>
  <si>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</si>
  <si>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</si>
  <si>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</si>
  <si>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</si>
  <si>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</si>
  <si>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</si>
  <si>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</si>
  <si>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</si>
  <si>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</si>
  <si>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</si>
  <si>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</si>
  <si>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</si>
  <si>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</si>
  <si>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</si>
  <si>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</si>
  <si>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</si>
  <si>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</si>
  <si>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</si>
  <si>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</si>
  <si>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</si>
  <si>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</si>
  <si>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</si>
  <si>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</si>
  <si>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</si>
  <si>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MDEP 437</t>
  </si>
  <si>
    <t>Fuel Cell Technology</t>
  </si>
  <si>
    <t>0</t>
  </si>
  <si>
    <t>21</t>
  </si>
  <si>
    <t>MECH 213</t>
  </si>
  <si>
    <t>Manufacturing Methods</t>
  </si>
  <si>
    <t>36</t>
  </si>
  <si>
    <t>18</t>
  </si>
  <si>
    <t>MECH 215</t>
  </si>
  <si>
    <t>Instrumentation and Measurement</t>
  </si>
  <si>
    <t>42</t>
  </si>
  <si>
    <t>MECH 216</t>
  </si>
  <si>
    <t>Instrumentation and Measurement Labs</t>
  </si>
  <si>
    <t>16</t>
  </si>
  <si>
    <t>8</t>
  </si>
  <si>
    <t>NA</t>
  </si>
  <si>
    <t>MECH 221</t>
  </si>
  <si>
    <t>Statics and Solid Mechanics</t>
  </si>
  <si>
    <t>48</t>
  </si>
  <si>
    <t>MECH 228</t>
  </si>
  <si>
    <t>Kinematics and Dynamics</t>
  </si>
  <si>
    <t>11</t>
  </si>
  <si>
    <t>31</t>
  </si>
  <si>
    <t>MECH 230</t>
  </si>
  <si>
    <t>Thermodynamics I</t>
  </si>
  <si>
    <t>30</t>
  </si>
  <si>
    <t>12</t>
  </si>
  <si>
    <t>MECH 241</t>
  </si>
  <si>
    <t>Fluid Mechanics I</t>
  </si>
  <si>
    <t>24</t>
  </si>
  <si>
    <t>MECH 270</t>
  </si>
  <si>
    <t>Materials Science and Engineering</t>
  </si>
  <si>
    <t>33</t>
  </si>
  <si>
    <t>MECH 321</t>
  </si>
  <si>
    <t>Solid Mechanics II</t>
  </si>
  <si>
    <t>MECH 323</t>
  </si>
  <si>
    <t>Machine Design</t>
  </si>
  <si>
    <t>27</t>
  </si>
  <si>
    <t>MECH 328</t>
  </si>
  <si>
    <t>Dynamics and Vibration</t>
  </si>
  <si>
    <t>17</t>
  </si>
  <si>
    <t>14</t>
  </si>
  <si>
    <t>MECH 330</t>
  </si>
  <si>
    <t>Applied Thermodynamics II</t>
  </si>
  <si>
    <t>MECH 333</t>
  </si>
  <si>
    <t>Gender, Engineering and Technology</t>
  </si>
  <si>
    <t>MECH 341</t>
  </si>
  <si>
    <t>Fluid Mechanics II</t>
  </si>
  <si>
    <t>MECH 346</t>
  </si>
  <si>
    <t>Heat Transfer</t>
  </si>
  <si>
    <t>MECH 350</t>
  </si>
  <si>
    <t>Automatic Control</t>
  </si>
  <si>
    <t>23</t>
  </si>
  <si>
    <t>19</t>
  </si>
  <si>
    <t>MECH 361</t>
  </si>
  <si>
    <t>Project Based Engineering: Conceive, Design, Implement and Operate</t>
  </si>
  <si>
    <t>MECH 370</t>
  </si>
  <si>
    <t>Principles of Materials Processing</t>
  </si>
  <si>
    <t>MECH 371</t>
  </si>
  <si>
    <t>Fracture Mechanics and Dislocation Theory</t>
  </si>
  <si>
    <t>20</t>
  </si>
  <si>
    <t>MECH 393</t>
  </si>
  <si>
    <t>Biomechanical Product Development</t>
  </si>
  <si>
    <t>MECH 396</t>
  </si>
  <si>
    <t>Mechanical and Materials Engineering Laboratory I</t>
  </si>
  <si>
    <t>MECH 397</t>
  </si>
  <si>
    <t>Mechanical and Materials Engineering Laboratory II</t>
  </si>
  <si>
    <t>MECH 398</t>
  </si>
  <si>
    <t>Mechanical Engineering Laboratory I</t>
  </si>
  <si>
    <t>MECH 399</t>
  </si>
  <si>
    <t>Mechanical Engineering Laboratory II</t>
  </si>
  <si>
    <t>MECH 420</t>
  </si>
  <si>
    <t>Vibrations</t>
  </si>
  <si>
    <t>29</t>
  </si>
  <si>
    <t>13</t>
  </si>
  <si>
    <t>MECH 423</t>
  </si>
  <si>
    <t>Introduction to Microsystems</t>
  </si>
  <si>
    <t>25</t>
  </si>
  <si>
    <t>MECH 424</t>
  </si>
  <si>
    <t>Sustainable Product Design</t>
  </si>
  <si>
    <t>MECH 430</t>
  </si>
  <si>
    <t>Thermal Systems Design</t>
  </si>
  <si>
    <t>MECH 435</t>
  </si>
  <si>
    <t>Internal Combustion Engines</t>
  </si>
  <si>
    <t>MECH 439</t>
  </si>
  <si>
    <t>Turbomachinery</t>
  </si>
  <si>
    <t>MECH 441</t>
  </si>
  <si>
    <t>Fluid Mechanics III</t>
  </si>
  <si>
    <t>MECH 444</t>
  </si>
  <si>
    <t>Computational Fluid Dynamics</t>
  </si>
  <si>
    <t>MECH 448</t>
  </si>
  <si>
    <t>Compressible Fluid Flow</t>
  </si>
  <si>
    <t>MECH 452</t>
  </si>
  <si>
    <t>Mechatronics Engineering</t>
  </si>
  <si>
    <t>MECH 455</t>
  </si>
  <si>
    <t>Computer Integrated Manufacturing</t>
  </si>
  <si>
    <t>MECH 456</t>
  </si>
  <si>
    <t>Introduction to Robotics</t>
  </si>
  <si>
    <t>MECH 458</t>
  </si>
  <si>
    <t>Not offered - Machine Condition Monitoring and Fault Diagnostics</t>
  </si>
  <si>
    <t>28</t>
  </si>
  <si>
    <t>MECH 460</t>
  </si>
  <si>
    <t>Team Project - Conceive and Design</t>
  </si>
  <si>
    <t>MECH 461</t>
  </si>
  <si>
    <t>Research Project</t>
  </si>
  <si>
    <t>MECH 462</t>
  </si>
  <si>
    <t>Team Project - Implement and Operate</t>
  </si>
  <si>
    <t>MECH 463</t>
  </si>
  <si>
    <t>Engineering Project for International Students</t>
  </si>
  <si>
    <t>MECH 464</t>
  </si>
  <si>
    <t>Communications and Project Management</t>
  </si>
  <si>
    <t>MECH 465</t>
  </si>
  <si>
    <t>Computer-Aided Design</t>
  </si>
  <si>
    <t>MECH 470</t>
  </si>
  <si>
    <t>Deformation Processing</t>
  </si>
  <si>
    <t>MECH 476</t>
  </si>
  <si>
    <t>Engineering of Polymers and Composite Materials</t>
  </si>
  <si>
    <t>MECH 478</t>
  </si>
  <si>
    <t>Biomaterials</t>
  </si>
  <si>
    <t>MECH 479</t>
  </si>
  <si>
    <t>Nano-Structured Materials</t>
  </si>
  <si>
    <t>MECH 480</t>
  </si>
  <si>
    <t>Airplane Aerodynamics and Performance</t>
  </si>
  <si>
    <t>MECH 481</t>
  </si>
  <si>
    <t>Wind Energy</t>
  </si>
  <si>
    <t>MECH 482</t>
  </si>
  <si>
    <t>Noise Control</t>
  </si>
  <si>
    <t>MECH 483</t>
  </si>
  <si>
    <t>Nuclear Materials</t>
  </si>
  <si>
    <t>MECH 484</t>
  </si>
  <si>
    <t>Introduction to Ceramics</t>
  </si>
  <si>
    <t>MECH 494</t>
  </si>
  <si>
    <t>Kinematics of Human Motion</t>
  </si>
  <si>
    <t>MECH 495</t>
  </si>
  <si>
    <t>Ergonomics and Design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</si>
</sst>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 Type="http://schemas.openxmlformats.org/officeDocument/2006/relationships/worksheet" Target="worksheets/sheet7.xml"/><Relationship Id="rId71"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1.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0.58333333333333337</v>
      </c>
      <c r="L10" s="158"/>
      <c r="M10" s="158">
        <f>$M$11/$D$11</f>
        <v>0.58333333333333337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356</v>
      </c>
      <c r="D3" s="168"/>
      <c r="E3" s="168"/>
      <c r="F3" s="168"/>
      <c r="G3" s="168"/>
      <c r="H3" s="168"/>
      <c r="I3" s="168"/>
      <c r="J3" s="168"/>
      <c r="K3" s="168"/>
      <c r="L3" s="168"/>
      <c r="M3" s="168"/>
      <c r="N3" s="168"/>
      <c r="P3" s="4">
        <v>6</v>
      </c>
      <c r="Q3" s="4">
        <v>10</v>
      </c>
      <c r="R3" s="2"/>
      <c r="S3" s="2"/>
    </row>
    <row r="4" spans="1:24" ht="13.5" customHeight="1">
      <c r="A4" s="161" t="s">
        <v>25</v>
      </c>
      <c r="B4" s="161"/>
      <c r="C4" s="162" t="s">
        <v>357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358</v>
      </c>
      <c r="L11" s="159"/>
      <c r="M11" s="159" t="s">
        <v>359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360</v>
      </c>
      <c r="D3" s="168"/>
      <c r="E3" s="168"/>
      <c r="F3" s="168"/>
      <c r="G3" s="168"/>
      <c r="H3" s="168"/>
      <c r="I3" s="168"/>
      <c r="J3" s="168"/>
      <c r="K3" s="168"/>
      <c r="L3" s="168"/>
      <c r="M3" s="168"/>
      <c r="N3" s="168"/>
      <c r="P3" s="4">
        <v>6</v>
      </c>
      <c r="Q3" s="4">
        <v>10</v>
      </c>
      <c r="R3" s="2"/>
      <c r="S3" s="2"/>
    </row>
    <row r="4" spans="1:24" ht="13.5" customHeight="1">
      <c r="A4" s="161" t="s">
        <v>25</v>
      </c>
      <c r="B4" s="161"/>
      <c r="C4" s="162" t="s">
        <v>361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363</v>
      </c>
      <c r="D3" s="168"/>
      <c r="E3" s="168"/>
      <c r="F3" s="168"/>
      <c r="G3" s="168"/>
      <c r="H3" s="168"/>
      <c r="I3" s="168"/>
      <c r="J3" s="168"/>
      <c r="K3" s="168"/>
      <c r="L3" s="168"/>
      <c r="M3" s="168"/>
      <c r="N3" s="168"/>
      <c r="P3" s="4">
        <v>6</v>
      </c>
      <c r="Q3" s="4">
        <v>10</v>
      </c>
      <c r="R3" s="2"/>
      <c r="S3" s="2"/>
    </row>
    <row r="4" spans="1:24" ht="13.5" customHeight="1">
      <c r="A4" s="161" t="s">
        <v>25</v>
      </c>
      <c r="B4" s="161"/>
      <c r="C4" s="162" t="s">
        <v>364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0.44444444444444442</v>
      </c>
      <c r="L10" s="158"/>
      <c r="M10" s="158">
        <f>$M$11/$D$11</f>
        <v>0.22222222222222221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365</v>
      </c>
      <c r="L11" s="159"/>
      <c r="M11" s="159" t="s">
        <v>366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368</v>
      </c>
      <c r="D3" s="168"/>
      <c r="E3" s="168"/>
      <c r="F3" s="168"/>
      <c r="G3" s="168"/>
      <c r="H3" s="168"/>
      <c r="I3" s="168"/>
      <c r="J3" s="168"/>
      <c r="K3" s="168"/>
      <c r="L3" s="168"/>
      <c r="M3" s="168"/>
      <c r="N3" s="168"/>
      <c r="P3" s="4">
        <v>6</v>
      </c>
      <c r="Q3" s="4">
        <v>10</v>
      </c>
      <c r="R3" s="2"/>
      <c r="S3" s="2"/>
    </row>
    <row r="4" spans="1:24" ht="13.5" customHeight="1">
      <c r="A4" s="161" t="s">
        <v>25</v>
      </c>
      <c r="B4" s="161"/>
      <c r="C4" s="162" t="s">
        <v>369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1.3333333333333333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371</v>
      </c>
      <c r="D3" s="168"/>
      <c r="E3" s="168"/>
      <c r="F3" s="168"/>
      <c r="G3" s="168"/>
      <c r="H3" s="168"/>
      <c r="I3" s="168"/>
      <c r="J3" s="168"/>
      <c r="K3" s="168"/>
      <c r="L3" s="168"/>
      <c r="M3" s="168"/>
      <c r="N3" s="168"/>
      <c r="P3" s="4">
        <v>6</v>
      </c>
      <c r="Q3" s="4">
        <v>10</v>
      </c>
      <c r="R3" s="2"/>
      <c r="S3" s="2"/>
    </row>
    <row r="4" spans="1:24" ht="13.5" customHeight="1">
      <c r="A4" s="161" t="s">
        <v>25</v>
      </c>
      <c r="B4" s="161"/>
      <c r="C4" s="162" t="s">
        <v>372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v>
      </c>
      <c r="J10" s="158"/>
      <c r="K10" s="158">
        <f>$K$11/$D$11</f>
        <v>0.86111111111111116</v>
      </c>
      <c r="L10" s="158"/>
      <c r="M10" s="158">
        <f>$M$11/$D$11</f>
        <v>0</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374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375</v>
      </c>
      <c r="D3" s="168"/>
      <c r="E3" s="168"/>
      <c r="F3" s="168"/>
      <c r="G3" s="168"/>
      <c r="H3" s="168"/>
      <c r="I3" s="168"/>
      <c r="J3" s="168"/>
      <c r="K3" s="168"/>
      <c r="L3" s="168"/>
      <c r="M3" s="168"/>
      <c r="N3" s="168"/>
      <c r="P3" s="4">
        <v>6</v>
      </c>
      <c r="Q3" s="4">
        <v>10</v>
      </c>
      <c r="R3" s="2"/>
      <c r="S3" s="2"/>
    </row>
    <row r="4" spans="1:24" ht="13.5" customHeight="1">
      <c r="A4" s="161" t="s">
        <v>25</v>
      </c>
      <c r="B4" s="161"/>
      <c r="C4" s="162" t="s">
        <v>376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0.83333333333333337</v>
      </c>
      <c r="H10" s="158"/>
      <c r="I10" s="158">
        <f>$I$11/$D$11</f>
        <v>0</v>
      </c>
      <c r="J10" s="158"/>
      <c r="K10" s="158">
        <f>$K$11/$D$11</f>
        <v>0.33333333333333331</v>
      </c>
      <c r="L10" s="158"/>
      <c r="M10" s="158">
        <f>$M$11/$D$11</f>
        <v>0</v>
      </c>
      <c r="N10" s="158"/>
      <c r="P10" s="14">
        <v>0</v>
      </c>
      <c r="Q10" s="14">
        <v>1</v>
      </c>
      <c r="R10" s="2"/>
      <c r="S10" s="2"/>
      <c r="T10" s="10"/>
    </row>
    <row r="11" spans="1:24" ht="13.5" customHeight="1">
      <c r="A11" s="150"/>
      <c r="B11" s="150"/>
      <c r="C11" s="133" t="s">
        <v>42</v>
      </c>
      <c r="D11" s="132">
        <v>36</v>
      </c>
      <c r="E11" s="159" t="s">
        <v>354</v>
      </c>
      <c r="F11" s="159"/>
      <c r="G11" s="159" t="s">
        <v>377</v>
      </c>
      <c r="H11" s="159"/>
      <c r="I11" s="159" t="s">
        <v>354</v>
      </c>
      <c r="J11" s="159"/>
      <c r="K11" s="159" t="s">
        <v>378</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379</v>
      </c>
      <c r="D3" s="168"/>
      <c r="E3" s="168"/>
      <c r="F3" s="168"/>
      <c r="G3" s="168"/>
      <c r="H3" s="168"/>
      <c r="I3" s="168"/>
      <c r="J3" s="168"/>
      <c r="K3" s="168"/>
      <c r="L3" s="168"/>
      <c r="M3" s="168"/>
      <c r="N3" s="168"/>
      <c r="P3" s="4">
        <v>6</v>
      </c>
      <c r="Q3" s="4">
        <v>10</v>
      </c>
      <c r="R3" s="2"/>
      <c r="S3" s="2"/>
    </row>
    <row r="4" spans="1:24" ht="13.5" customHeight="1">
      <c r="A4" s="161" t="s">
        <v>25</v>
      </c>
      <c r="B4" s="161"/>
      <c r="C4" s="162" t="s">
        <v>380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0.66666666666666663</v>
      </c>
      <c r="H10" s="158"/>
      <c r="I10" s="158">
        <f>$I$11/$D$11</f>
        <v>0</v>
      </c>
      <c r="J10" s="158"/>
      <c r="K10" s="158">
        <f>$K$11/$D$11</f>
        <v>0.5</v>
      </c>
      <c r="L10" s="158"/>
      <c r="M10" s="158">
        <f>$M$11/$D$11</f>
        <v>0</v>
      </c>
      <c r="N10" s="158"/>
      <c r="P10" s="14">
        <v>0</v>
      </c>
      <c r="Q10" s="14">
        <v>1</v>
      </c>
      <c r="R10" s="2"/>
      <c r="S10" s="2"/>
      <c r="T10" s="10"/>
    </row>
    <row r="11" spans="1:24" ht="13.5" customHeight="1">
      <c r="A11" s="150"/>
      <c r="B11" s="150"/>
      <c r="C11" s="133" t="s">
        <v>42</v>
      </c>
      <c r="D11" s="132">
        <v>36</v>
      </c>
      <c r="E11" s="159" t="s">
        <v>354</v>
      </c>
      <c r="F11" s="159"/>
      <c r="G11" s="159" t="s">
        <v>381</v>
      </c>
      <c r="H11" s="159"/>
      <c r="I11" s="159" t="s">
        <v>354</v>
      </c>
      <c r="J11" s="159"/>
      <c r="K11" s="159" t="s">
        <v>359</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382</v>
      </c>
      <c r="D3" s="168"/>
      <c r="E3" s="168"/>
      <c r="F3" s="168"/>
      <c r="G3" s="168"/>
      <c r="H3" s="168"/>
      <c r="I3" s="168"/>
      <c r="J3" s="168"/>
      <c r="K3" s="168"/>
      <c r="L3" s="168"/>
      <c r="M3" s="168"/>
      <c r="N3" s="168"/>
      <c r="P3" s="4">
        <v>6</v>
      </c>
      <c r="Q3" s="4">
        <v>10</v>
      </c>
      <c r="R3" s="2"/>
      <c r="S3" s="2"/>
    </row>
    <row r="4" spans="1:24" ht="13.5" customHeight="1">
      <c r="A4" s="161" t="s">
        <v>25</v>
      </c>
      <c r="B4" s="161"/>
      <c r="C4" s="162" t="s">
        <v>383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0.91666666666666663</v>
      </c>
      <c r="L10" s="158"/>
      <c r="M10" s="158">
        <f>$M$11/$D$11</f>
        <v>0</v>
      </c>
      <c r="N10" s="158"/>
      <c r="P10" s="14">
        <v>0</v>
      </c>
      <c r="Q10" s="14">
        <v>1</v>
      </c>
      <c r="R10" s="2"/>
      <c r="S10" s="2"/>
      <c r="T10" s="10"/>
    </row>
    <row r="11" spans="1:24" ht="13.5" customHeight="1">
      <c r="A11" s="150"/>
      <c r="B11" s="150"/>
      <c r="C11" s="133" t="s">
        <v>42</v>
      </c>
      <c r="D11" s="132">
        <v>36</v>
      </c>
      <c r="E11" s="159" t="s">
        <v>354</v>
      </c>
      <c r="F11" s="159"/>
      <c r="G11" s="159" t="s">
        <v>378</v>
      </c>
      <c r="H11" s="159"/>
      <c r="I11" s="159" t="s">
        <v>354</v>
      </c>
      <c r="J11" s="159"/>
      <c r="K11" s="159" t="s">
        <v>384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385</v>
      </c>
      <c r="D3" s="168"/>
      <c r="E3" s="168"/>
      <c r="F3" s="168"/>
      <c r="G3" s="168"/>
      <c r="H3" s="168"/>
      <c r="I3" s="168"/>
      <c r="J3" s="168"/>
      <c r="K3" s="168"/>
      <c r="L3" s="168"/>
      <c r="M3" s="168"/>
      <c r="N3" s="168"/>
      <c r="P3" s="4">
        <v>6</v>
      </c>
      <c r="Q3" s="4">
        <v>10</v>
      </c>
      <c r="R3" s="2"/>
      <c r="S3" s="2"/>
    </row>
    <row r="4" spans="1:24" ht="13.5" customHeight="1">
      <c r="A4" s="161" t="s">
        <v>25</v>
      </c>
      <c r="B4" s="161"/>
      <c r="C4" s="162" t="s">
        <v>386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377</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387</v>
      </c>
      <c r="D3" s="168"/>
      <c r="E3" s="168"/>
      <c r="F3" s="168"/>
      <c r="G3" s="168"/>
      <c r="H3" s="168"/>
      <c r="I3" s="168"/>
      <c r="J3" s="168"/>
      <c r="K3" s="168"/>
      <c r="L3" s="168"/>
      <c r="M3" s="168"/>
      <c r="N3" s="168"/>
      <c r="P3" s="4">
        <v>6</v>
      </c>
      <c r="Q3" s="4">
        <v>10</v>
      </c>
      <c r="R3" s="2"/>
      <c r="S3" s="2"/>
    </row>
    <row r="4" spans="1:24" ht="13.5" customHeight="1">
      <c r="A4" s="161" t="s">
        <v>25</v>
      </c>
      <c r="B4" s="161"/>
      <c r="C4" s="162" t="s">
        <v>388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0.75</v>
      </c>
      <c r="L10" s="158"/>
      <c r="M10" s="158">
        <f>$M$11/$D$11</f>
        <v>0.75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389</v>
      </c>
      <c r="L11" s="159"/>
      <c r="M11" s="159" t="s">
        <v>389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390</v>
      </c>
      <c r="D3" s="168"/>
      <c r="E3" s="168"/>
      <c r="F3" s="168"/>
      <c r="G3" s="168"/>
      <c r="H3" s="168"/>
      <c r="I3" s="168"/>
      <c r="J3" s="168"/>
      <c r="K3" s="168"/>
      <c r="L3" s="168"/>
      <c r="M3" s="168"/>
      <c r="N3" s="168"/>
      <c r="P3" s="4">
        <v>6</v>
      </c>
      <c r="Q3" s="4">
        <v>10</v>
      </c>
      <c r="R3" s="2"/>
      <c r="S3" s="2"/>
    </row>
    <row r="4" spans="1:24" ht="13.5" customHeight="1">
      <c r="A4" s="161" t="s">
        <v>25</v>
      </c>
      <c r="B4" s="161"/>
      <c r="C4" s="162" t="s">
        <v>391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v>
      </c>
      <c r="J10" s="158"/>
      <c r="K10" s="158">
        <f>$K$11/$D$11</f>
        <v>0.47222222222222221</v>
      </c>
      <c r="L10" s="158"/>
      <c r="M10" s="158">
        <f>$M$11/$D$11</f>
        <v>0.3888888888888889</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392</v>
      </c>
      <c r="L11" s="159"/>
      <c r="M11" s="159" t="s">
        <v>393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394</v>
      </c>
      <c r="D3" s="168"/>
      <c r="E3" s="168"/>
      <c r="F3" s="168"/>
      <c r="G3" s="168"/>
      <c r="H3" s="168"/>
      <c r="I3" s="168"/>
      <c r="J3" s="168"/>
      <c r="K3" s="168"/>
      <c r="L3" s="168"/>
      <c r="M3" s="168"/>
      <c r="N3" s="168"/>
      <c r="P3" s="4">
        <v>6</v>
      </c>
      <c r="Q3" s="4">
        <v>10</v>
      </c>
      <c r="R3" s="2"/>
      <c r="S3" s="2"/>
    </row>
    <row r="4" spans="1:24" ht="13.5" customHeight="1">
      <c r="A4" s="161" t="s">
        <v>25</v>
      </c>
      <c r="B4" s="161"/>
      <c r="C4" s="162" t="s">
        <v>395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396</v>
      </c>
      <c r="D3" s="168"/>
      <c r="E3" s="168"/>
      <c r="F3" s="168"/>
      <c r="G3" s="168"/>
      <c r="H3" s="168"/>
      <c r="I3" s="168"/>
      <c r="J3" s="168"/>
      <c r="K3" s="168"/>
      <c r="L3" s="168"/>
      <c r="M3" s="168"/>
      <c r="N3" s="168"/>
      <c r="P3" s="4">
        <v>6</v>
      </c>
      <c r="Q3" s="4">
        <v>10</v>
      </c>
      <c r="R3" s="2"/>
      <c r="S3" s="2"/>
    </row>
    <row r="4" spans="1:24" ht="13.5" customHeight="1">
      <c r="A4" s="161" t="s">
        <v>25</v>
      </c>
      <c r="B4" s="161"/>
      <c r="C4" s="162" t="s">
        <v>397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358</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398</v>
      </c>
      <c r="D3" s="168"/>
      <c r="E3" s="168"/>
      <c r="F3" s="168"/>
      <c r="G3" s="168"/>
      <c r="H3" s="168"/>
      <c r="I3" s="168"/>
      <c r="J3" s="168"/>
      <c r="K3" s="168"/>
      <c r="L3" s="168"/>
      <c r="M3" s="168"/>
      <c r="N3" s="168"/>
      <c r="P3" s="4">
        <v>6</v>
      </c>
      <c r="Q3" s="4">
        <v>10</v>
      </c>
      <c r="R3" s="2"/>
      <c r="S3" s="2"/>
    </row>
    <row r="4" spans="1:24" ht="13.5" customHeight="1">
      <c r="A4" s="161" t="s">
        <v>25</v>
      </c>
      <c r="B4" s="161"/>
      <c r="C4" s="162" t="s">
        <v>399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0.30555555555555558</v>
      </c>
      <c r="F10" s="158"/>
      <c r="G10" s="158">
        <f>$G$11/$D$11</f>
        <v>0</v>
      </c>
      <c r="H10" s="158"/>
      <c r="I10" s="158">
        <f>$I$11/$D$11</f>
        <v>0</v>
      </c>
      <c r="J10" s="158"/>
      <c r="K10" s="158">
        <f>$K$11/$D$11</f>
        <v>0.86111111111111116</v>
      </c>
      <c r="L10" s="158"/>
      <c r="M10" s="158">
        <f>$M$11/$D$11</f>
        <v>0</v>
      </c>
      <c r="N10" s="158"/>
      <c r="P10" s="14">
        <v>0</v>
      </c>
      <c r="Q10" s="14">
        <v>1</v>
      </c>
      <c r="R10" s="2"/>
      <c r="S10" s="2"/>
      <c r="T10" s="10"/>
    </row>
    <row r="11" spans="1:24" ht="13.5" customHeight="1">
      <c r="A11" s="150"/>
      <c r="B11" s="150"/>
      <c r="C11" s="133" t="s">
        <v>42</v>
      </c>
      <c r="D11" s="132">
        <v>36</v>
      </c>
      <c r="E11" s="159" t="s">
        <v>373</v>
      </c>
      <c r="F11" s="159"/>
      <c r="G11" s="159" t="s">
        <v>354</v>
      </c>
      <c r="H11" s="159"/>
      <c r="I11" s="159" t="s">
        <v>354</v>
      </c>
      <c r="J11" s="159"/>
      <c r="K11" s="159" t="s">
        <v>374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400</v>
      </c>
      <c r="D3" s="168"/>
      <c r="E3" s="168"/>
      <c r="F3" s="168"/>
      <c r="G3" s="168"/>
      <c r="H3" s="168"/>
      <c r="I3" s="168"/>
      <c r="J3" s="168"/>
      <c r="K3" s="168"/>
      <c r="L3" s="168"/>
      <c r="M3" s="168"/>
      <c r="N3" s="168"/>
      <c r="P3" s="4">
        <v>6</v>
      </c>
      <c r="Q3" s="4">
        <v>10</v>
      </c>
      <c r="R3" s="2"/>
      <c r="S3" s="2"/>
    </row>
    <row r="4" spans="1:24" ht="13.5" customHeight="1">
      <c r="A4" s="161" t="s">
        <v>25</v>
      </c>
      <c r="B4" s="161"/>
      <c r="C4" s="162" t="s">
        <v>401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402</v>
      </c>
      <c r="D3" s="168"/>
      <c r="E3" s="168"/>
      <c r="F3" s="168"/>
      <c r="G3" s="168"/>
      <c r="H3" s="168"/>
      <c r="I3" s="168"/>
      <c r="J3" s="168"/>
      <c r="K3" s="168"/>
      <c r="L3" s="168"/>
      <c r="M3" s="168"/>
      <c r="N3" s="168"/>
      <c r="P3" s="4">
        <v>6</v>
      </c>
      <c r="Q3" s="4">
        <v>10</v>
      </c>
      <c r="R3" s="2"/>
      <c r="S3" s="2"/>
    </row>
    <row r="4" spans="1:24" ht="13.5" customHeight="1">
      <c r="A4" s="161" t="s">
        <v>25</v>
      </c>
      <c r="B4" s="161"/>
      <c r="C4" s="162" t="s">
        <v>403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0.63888888888888884</v>
      </c>
      <c r="L10" s="158"/>
      <c r="M10" s="158">
        <f>$M$11/$D$11</f>
        <v>0.52777777777777779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404</v>
      </c>
      <c r="L11" s="159"/>
      <c r="M11" s="159" t="s">
        <v>405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2.75</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406</v>
      </c>
      <c r="D3" s="168"/>
      <c r="E3" s="168"/>
      <c r="F3" s="168"/>
      <c r="G3" s="168"/>
      <c r="H3" s="168"/>
      <c r="I3" s="168"/>
      <c r="J3" s="168"/>
      <c r="K3" s="168"/>
      <c r="L3" s="168"/>
      <c r="M3" s="168"/>
      <c r="N3" s="168"/>
      <c r="P3" s="4">
        <v>6</v>
      </c>
      <c r="Q3" s="4">
        <v>10</v>
      </c>
      <c r="R3" s="2"/>
      <c r="S3" s="2"/>
    </row>
    <row r="4" spans="1:24" ht="13.5" customHeight="1">
      <c r="A4" s="161" t="s">
        <v>25</v>
      </c>
      <c r="B4" s="161"/>
      <c r="C4" s="162" t="s">
        <v>407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1.1666666666666667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408</v>
      </c>
      <c r="D3" s="168"/>
      <c r="E3" s="168"/>
      <c r="F3" s="168"/>
      <c r="G3" s="168"/>
      <c r="H3" s="168"/>
      <c r="I3" s="168"/>
      <c r="J3" s="168"/>
      <c r="K3" s="168"/>
      <c r="L3" s="168"/>
      <c r="M3" s="168"/>
      <c r="N3" s="168"/>
      <c r="P3" s="4">
        <v>6</v>
      </c>
      <c r="Q3" s="4">
        <v>10</v>
      </c>
      <c r="R3" s="2"/>
      <c r="S3" s="2"/>
    </row>
    <row r="4" spans="1:24" ht="13.5" customHeight="1">
      <c r="A4" s="161" t="s">
        <v>25</v>
      </c>
      <c r="B4" s="161"/>
      <c r="C4" s="162" t="s">
        <v>409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v>
      </c>
      <c r="H10" s="158"/>
      <c r="I10" s="158">
        <f>$I$11/$D$11</f>
        <v>0</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359</v>
      </c>
      <c r="H11" s="159"/>
      <c r="I11" s="159" t="s">
        <v>354</v>
      </c>
      <c r="J11" s="159"/>
      <c r="K11" s="159" t="s">
        <v>381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410</v>
      </c>
      <c r="D3" s="168"/>
      <c r="E3" s="168"/>
      <c r="F3" s="168"/>
      <c r="G3" s="168"/>
      <c r="H3" s="168"/>
      <c r="I3" s="168"/>
      <c r="J3" s="168"/>
      <c r="K3" s="168"/>
      <c r="L3" s="168"/>
      <c r="M3" s="168"/>
      <c r="N3" s="168"/>
      <c r="P3" s="4">
        <v>6</v>
      </c>
      <c r="Q3" s="4">
        <v>10</v>
      </c>
      <c r="R3" s="2"/>
      <c r="S3" s="2"/>
    </row>
    <row r="4" spans="1:24" ht="13.5" customHeight="1">
      <c r="A4" s="161" t="s">
        <v>25</v>
      </c>
      <c r="B4" s="161"/>
      <c r="C4" s="162" t="s">
        <v>411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v>
      </c>
      <c r="J10" s="158"/>
      <c r="K10" s="158">
        <f>$K$11/$D$11</f>
        <v>0.55555555555555558</v>
      </c>
      <c r="L10" s="158"/>
      <c r="M10" s="158">
        <f>$M$11/$D$11</f>
        <v>0.30555555555555558</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412</v>
      </c>
      <c r="L11" s="159"/>
      <c r="M11" s="159" t="s">
        <v>373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413</v>
      </c>
      <c r="D3" s="168"/>
      <c r="E3" s="168"/>
      <c r="F3" s="168"/>
      <c r="G3" s="168"/>
      <c r="H3" s="168"/>
      <c r="I3" s="168"/>
      <c r="J3" s="168"/>
      <c r="K3" s="168"/>
      <c r="L3" s="168"/>
      <c r="M3" s="168"/>
      <c r="N3" s="168"/>
      <c r="P3" s="4">
        <v>6</v>
      </c>
      <c r="Q3" s="4">
        <v>10</v>
      </c>
      <c r="R3" s="2"/>
      <c r="S3" s="2"/>
    </row>
    <row r="4" spans="1:24" ht="13.5" customHeight="1">
      <c r="A4" s="161" t="s">
        <v>25</v>
      </c>
      <c r="B4" s="161"/>
      <c r="C4" s="162" t="s">
        <v>414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v>
      </c>
      <c r="L10" s="158"/>
      <c r="M10" s="158">
        <f>$M$11/$D$11</f>
        <v>0.66666666666666663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359</v>
      </c>
      <c r="L11" s="159"/>
      <c r="M11" s="159" t="s">
        <v>381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415</v>
      </c>
      <c r="D3" s="168"/>
      <c r="E3" s="168"/>
      <c r="F3" s="168"/>
      <c r="G3" s="168"/>
      <c r="H3" s="168"/>
      <c r="I3" s="168"/>
      <c r="J3" s="168"/>
      <c r="K3" s="168"/>
      <c r="L3" s="168"/>
      <c r="M3" s="168"/>
      <c r="N3" s="168"/>
      <c r="P3" s="4">
        <v>6</v>
      </c>
      <c r="Q3" s="4">
        <v>10</v>
      </c>
      <c r="R3" s="2"/>
      <c r="S3" s="2"/>
    </row>
    <row r="4" spans="1:24" ht="13.5" customHeight="1">
      <c r="A4" s="161" t="s">
        <v>25</v>
      </c>
      <c r="B4" s="161"/>
      <c r="C4" s="162" t="s">
        <v>416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417</v>
      </c>
      <c r="D3" s="168"/>
      <c r="E3" s="168"/>
      <c r="F3" s="168"/>
      <c r="G3" s="168"/>
      <c r="H3" s="168"/>
      <c r="I3" s="168"/>
      <c r="J3" s="168"/>
      <c r="K3" s="168"/>
      <c r="L3" s="168"/>
      <c r="M3" s="168"/>
      <c r="N3" s="168"/>
      <c r="P3" s="4">
        <v>6</v>
      </c>
      <c r="Q3" s="4">
        <v>10</v>
      </c>
      <c r="R3" s="2"/>
      <c r="S3" s="2"/>
    </row>
    <row r="4" spans="1:24" ht="13.5" customHeight="1">
      <c r="A4" s="161" t="s">
        <v>25</v>
      </c>
      <c r="B4" s="161"/>
      <c r="C4" s="162" t="s">
        <v>418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419</v>
      </c>
      <c r="D3" s="168"/>
      <c r="E3" s="168"/>
      <c r="F3" s="168"/>
      <c r="G3" s="168"/>
      <c r="H3" s="168"/>
      <c r="I3" s="168"/>
      <c r="J3" s="168"/>
      <c r="K3" s="168"/>
      <c r="L3" s="168"/>
      <c r="M3" s="168"/>
      <c r="N3" s="168"/>
      <c r="P3" s="4">
        <v>6</v>
      </c>
      <c r="Q3" s="4">
        <v>10</v>
      </c>
      <c r="R3" s="2"/>
      <c r="S3" s="2"/>
    </row>
    <row r="4" spans="1:24" ht="13.5" customHeight="1">
      <c r="A4" s="161" t="s">
        <v>25</v>
      </c>
      <c r="B4" s="161"/>
      <c r="C4" s="162" t="s">
        <v>420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421</v>
      </c>
      <c r="D3" s="168"/>
      <c r="E3" s="168"/>
      <c r="F3" s="168"/>
      <c r="G3" s="168"/>
      <c r="H3" s="168"/>
      <c r="I3" s="168"/>
      <c r="J3" s="168"/>
      <c r="K3" s="168"/>
      <c r="L3" s="168"/>
      <c r="M3" s="168"/>
      <c r="N3" s="168"/>
      <c r="P3" s="4">
        <v>6</v>
      </c>
      <c r="Q3" s="4">
        <v>10</v>
      </c>
      <c r="R3" s="2"/>
      <c r="S3" s="2"/>
    </row>
    <row r="4" spans="1:24" ht="13.5" customHeight="1">
      <c r="A4" s="161" t="s">
        <v>25</v>
      </c>
      <c r="B4" s="161"/>
      <c r="C4" s="162" t="s">
        <v>422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423</v>
      </c>
      <c r="D3" s="168"/>
      <c r="E3" s="168"/>
      <c r="F3" s="168"/>
      <c r="G3" s="168"/>
      <c r="H3" s="168"/>
      <c r="I3" s="168"/>
      <c r="J3" s="168"/>
      <c r="K3" s="168"/>
      <c r="L3" s="168"/>
      <c r="M3" s="168"/>
      <c r="N3" s="168"/>
      <c r="P3" s="4">
        <v>6</v>
      </c>
      <c r="Q3" s="4">
        <v>10</v>
      </c>
      <c r="R3" s="2"/>
      <c r="S3" s="2"/>
    </row>
    <row r="4" spans="1:24" ht="13.5" customHeight="1">
      <c r="A4" s="161" t="s">
        <v>25</v>
      </c>
      <c r="B4" s="161"/>
      <c r="C4" s="162" t="s">
        <v>424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0.80555555555555558</v>
      </c>
      <c r="L10" s="158"/>
      <c r="M10" s="158">
        <f>$M$11/$D$11</f>
        <v>0.3611111111111111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425</v>
      </c>
      <c r="L11" s="159"/>
      <c r="M11" s="159" t="s">
        <v>426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427</v>
      </c>
      <c r="D3" s="168"/>
      <c r="E3" s="168"/>
      <c r="F3" s="168"/>
      <c r="G3" s="168"/>
      <c r="H3" s="168"/>
      <c r="I3" s="168"/>
      <c r="J3" s="168"/>
      <c r="K3" s="168"/>
      <c r="L3" s="168"/>
      <c r="M3" s="168"/>
      <c r="N3" s="168"/>
      <c r="P3" s="4">
        <v>6</v>
      </c>
      <c r="Q3" s="4">
        <v>10</v>
      </c>
      <c r="R3" s="2"/>
      <c r="S3" s="2"/>
    </row>
    <row r="4" spans="1:24" ht="13.5" customHeight="1">
      <c r="A4" s="161" t="s">
        <v>25</v>
      </c>
      <c r="B4" s="161"/>
      <c r="C4" s="162" t="s">
        <v>428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0.69444444444444442</v>
      </c>
      <c r="L10" s="158"/>
      <c r="M10" s="158">
        <f>$M$11/$D$11</f>
        <v>0.47222222222222221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429</v>
      </c>
      <c r="L11" s="159"/>
      <c r="M11" s="159" t="s">
        <v>392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430</v>
      </c>
      <c r="D3" s="168"/>
      <c r="E3" s="168"/>
      <c r="F3" s="168"/>
      <c r="G3" s="168"/>
      <c r="H3" s="168"/>
      <c r="I3" s="168"/>
      <c r="J3" s="168"/>
      <c r="K3" s="168"/>
      <c r="L3" s="168"/>
      <c r="M3" s="168"/>
      <c r="N3" s="168"/>
      <c r="P3" s="4">
        <v>6</v>
      </c>
      <c r="Q3" s="4">
        <v>10</v>
      </c>
      <c r="R3" s="2"/>
      <c r="S3" s="2"/>
    </row>
    <row r="4" spans="1:24" ht="13.5" customHeight="1">
      <c r="A4" s="161" t="s">
        <v>25</v>
      </c>
      <c r="B4" s="161"/>
      <c r="C4" s="162" t="s">
        <v>431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1.1666666666666667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432</v>
      </c>
      <c r="D3" s="168"/>
      <c r="E3" s="168"/>
      <c r="F3" s="168"/>
      <c r="G3" s="168"/>
      <c r="H3" s="168"/>
      <c r="I3" s="168"/>
      <c r="J3" s="168"/>
      <c r="K3" s="168"/>
      <c r="L3" s="168"/>
      <c r="M3" s="168"/>
      <c r="N3" s="168"/>
      <c r="P3" s="4">
        <v>6</v>
      </c>
      <c r="Q3" s="4">
        <v>10</v>
      </c>
      <c r="R3" s="2"/>
      <c r="S3" s="2"/>
    </row>
    <row r="4" spans="1:24" ht="13.5" customHeight="1">
      <c r="A4" s="161" t="s">
        <v>25</v>
      </c>
      <c r="B4" s="161"/>
      <c r="C4" s="162" t="s">
        <v>433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0.66666666666666663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381</v>
      </c>
      <c r="L11" s="159"/>
      <c r="M11" s="159" t="s">
        <v>381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434</v>
      </c>
      <c r="D3" s="168"/>
      <c r="E3" s="168"/>
      <c r="F3" s="168"/>
      <c r="G3" s="168"/>
      <c r="H3" s="168"/>
      <c r="I3" s="168"/>
      <c r="J3" s="168"/>
      <c r="K3" s="168"/>
      <c r="L3" s="168"/>
      <c r="M3" s="168"/>
      <c r="N3" s="168"/>
      <c r="P3" s="4">
        <v>6</v>
      </c>
      <c r="Q3" s="4">
        <v>10</v>
      </c>
      <c r="R3" s="2"/>
      <c r="S3" s="2"/>
    </row>
    <row r="4" spans="1:24" ht="13.5" customHeight="1">
      <c r="A4" s="161" t="s">
        <v>25</v>
      </c>
      <c r="B4" s="161"/>
      <c r="C4" s="162" t="s">
        <v>435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377</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436</v>
      </c>
      <c r="D3" s="168"/>
      <c r="E3" s="168"/>
      <c r="F3" s="168"/>
      <c r="G3" s="168"/>
      <c r="H3" s="168"/>
      <c r="I3" s="168"/>
      <c r="J3" s="168"/>
      <c r="K3" s="168"/>
      <c r="L3" s="168"/>
      <c r="M3" s="168"/>
      <c r="N3" s="168"/>
      <c r="P3" s="4">
        <v>6</v>
      </c>
      <c r="Q3" s="4">
        <v>10</v>
      </c>
      <c r="R3" s="2"/>
      <c r="S3" s="2"/>
    </row>
    <row r="4" spans="1:24" ht="13.5" customHeight="1">
      <c r="A4" s="161" t="s">
        <v>25</v>
      </c>
      <c r="B4" s="161"/>
      <c r="C4" s="162" t="s">
        <v>437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438</v>
      </c>
      <c r="D3" s="168"/>
      <c r="E3" s="168"/>
      <c r="F3" s="168"/>
      <c r="G3" s="168"/>
      <c r="H3" s="168"/>
      <c r="I3" s="168"/>
      <c r="J3" s="168"/>
      <c r="K3" s="168"/>
      <c r="L3" s="168"/>
      <c r="M3" s="168"/>
      <c r="N3" s="168"/>
      <c r="P3" s="4">
        <v>6</v>
      </c>
      <c r="Q3" s="4">
        <v>10</v>
      </c>
      <c r="R3" s="2"/>
      <c r="S3" s="2"/>
    </row>
    <row r="4" spans="1:24" ht="13.5" customHeight="1">
      <c r="A4" s="161" t="s">
        <v>25</v>
      </c>
      <c r="B4" s="161"/>
      <c r="C4" s="162" t="s">
        <v>439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440</v>
      </c>
      <c r="D3" s="168"/>
      <c r="E3" s="168"/>
      <c r="F3" s="168"/>
      <c r="G3" s="168"/>
      <c r="H3" s="168"/>
      <c r="I3" s="168"/>
      <c r="J3" s="168"/>
      <c r="K3" s="168"/>
      <c r="L3" s="168"/>
      <c r="M3" s="168"/>
      <c r="N3" s="168"/>
      <c r="P3" s="4">
        <v>6</v>
      </c>
      <c r="Q3" s="4">
        <v>10</v>
      </c>
      <c r="R3" s="2"/>
      <c r="S3" s="2"/>
    </row>
    <row r="4" spans="1:24" ht="13.5" customHeight="1">
      <c r="A4" s="161" t="s">
        <v>25</v>
      </c>
      <c r="B4" s="161"/>
      <c r="C4" s="162" t="s">
        <v>441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377</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442</v>
      </c>
      <c r="D3" s="168"/>
      <c r="E3" s="168"/>
      <c r="F3" s="168"/>
      <c r="G3" s="168"/>
      <c r="H3" s="168"/>
      <c r="I3" s="168"/>
      <c r="J3" s="168"/>
      <c r="K3" s="168"/>
      <c r="L3" s="168"/>
      <c r="M3" s="168"/>
      <c r="N3" s="168"/>
      <c r="P3" s="4">
        <v>6</v>
      </c>
      <c r="Q3" s="4">
        <v>10</v>
      </c>
      <c r="R3" s="2"/>
      <c r="S3" s="2"/>
    </row>
    <row r="4" spans="1:24" ht="13.5" customHeight="1">
      <c r="A4" s="161" t="s">
        <v>25</v>
      </c>
      <c r="B4" s="161"/>
      <c r="C4" s="162" t="s">
        <v>443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0.86111111111111116</v>
      </c>
      <c r="L10" s="158"/>
      <c r="M10" s="158">
        <f>$M$11/$D$11</f>
        <v>0.30555555555555558</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374</v>
      </c>
      <c r="L11" s="159"/>
      <c r="M11" s="159" t="s">
        <v>373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444</v>
      </c>
      <c r="D3" s="168"/>
      <c r="E3" s="168"/>
      <c r="F3" s="168"/>
      <c r="G3" s="168"/>
      <c r="H3" s="168"/>
      <c r="I3" s="168"/>
      <c r="J3" s="168"/>
      <c r="K3" s="168"/>
      <c r="L3" s="168"/>
      <c r="M3" s="168"/>
      <c r="N3" s="168"/>
      <c r="P3" s="4">
        <v>6</v>
      </c>
      <c r="Q3" s="4">
        <v>10</v>
      </c>
      <c r="R3" s="2"/>
      <c r="S3" s="2"/>
    </row>
    <row r="4" spans="1:24" ht="13.5" customHeight="1">
      <c r="A4" s="161" t="s">
        <v>25</v>
      </c>
      <c r="B4" s="161"/>
      <c r="C4" s="162" t="s">
        <v>445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0.83333333333333337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377</v>
      </c>
      <c r="L11" s="159"/>
      <c r="M11" s="159" t="s">
        <v>377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5</v>
      </c>
      <c r="E26" s="152"/>
      <c r="F26" s="114">
        <v>2</v>
      </c>
      <c r="G26" s="114">
        <v>3</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446</v>
      </c>
      <c r="D3" s="168"/>
      <c r="E3" s="168"/>
      <c r="F3" s="168"/>
      <c r="G3" s="168"/>
      <c r="H3" s="168"/>
      <c r="I3" s="168"/>
      <c r="J3" s="168"/>
      <c r="K3" s="168"/>
      <c r="L3" s="168"/>
      <c r="M3" s="168"/>
      <c r="N3" s="168"/>
      <c r="P3" s="4">
        <v>6</v>
      </c>
      <c r="Q3" s="4">
        <v>10</v>
      </c>
      <c r="R3" s="2"/>
      <c r="S3" s="2"/>
    </row>
    <row r="4" spans="1:24" ht="13.5" customHeight="1">
      <c r="A4" s="161" t="s">
        <v>25</v>
      </c>
      <c r="B4" s="161"/>
      <c r="C4" s="162" t="s">
        <v>447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0.58333333333333337</v>
      </c>
      <c r="L10" s="158"/>
      <c r="M10" s="158">
        <f>$M$11/$D$11</f>
        <v>0.58333333333333337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448</v>
      </c>
      <c r="D3" s="168"/>
      <c r="E3" s="168"/>
      <c r="F3" s="168"/>
      <c r="G3" s="168"/>
      <c r="H3" s="168"/>
      <c r="I3" s="168"/>
      <c r="J3" s="168"/>
      <c r="K3" s="168"/>
      <c r="L3" s="168"/>
      <c r="M3" s="168"/>
      <c r="N3" s="168"/>
      <c r="P3" s="4">
        <v>6</v>
      </c>
      <c r="Q3" s="4">
        <v>10</v>
      </c>
      <c r="R3" s="2"/>
      <c r="S3" s="2"/>
    </row>
    <row r="4" spans="1:24" ht="13.5" customHeight="1">
      <c r="A4" s="161" t="s">
        <v>25</v>
      </c>
      <c r="B4" s="161"/>
      <c r="C4" s="162" t="s">
        <v>449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0.58333333333333337</v>
      </c>
      <c r="L10" s="158"/>
      <c r="M10" s="158">
        <f>$M$11/$D$11</f>
        <v>0.58333333333333337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355</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450</v>
      </c>
      <c r="D3" s="168"/>
      <c r="E3" s="168"/>
      <c r="F3" s="168"/>
      <c r="G3" s="168"/>
      <c r="H3" s="168"/>
      <c r="I3" s="168"/>
      <c r="J3" s="168"/>
      <c r="K3" s="168"/>
      <c r="L3" s="168"/>
      <c r="M3" s="168"/>
      <c r="N3" s="168"/>
      <c r="P3" s="4">
        <v>6</v>
      </c>
      <c r="Q3" s="4">
        <v>10</v>
      </c>
      <c r="R3" s="2"/>
      <c r="S3" s="2"/>
    </row>
    <row r="4" spans="1:24" ht="13.5" customHeight="1">
      <c r="A4" s="161" t="s">
        <v>25</v>
      </c>
      <c r="B4" s="161"/>
      <c r="C4" s="162" t="s">
        <v>451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0.77777777777777779</v>
      </c>
      <c r="L10" s="158"/>
      <c r="M10" s="158">
        <f>$M$11/$D$11</f>
        <v>0.3888888888888889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452</v>
      </c>
      <c r="L11" s="159"/>
      <c r="M11" s="159" t="s">
        <v>393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453</v>
      </c>
      <c r="D3" s="168"/>
      <c r="E3" s="168"/>
      <c r="F3" s="168"/>
      <c r="G3" s="168"/>
      <c r="H3" s="168"/>
      <c r="I3" s="168"/>
      <c r="J3" s="168"/>
      <c r="K3" s="168"/>
      <c r="L3" s="168"/>
      <c r="M3" s="168"/>
      <c r="N3" s="168"/>
      <c r="P3" s="4">
        <v>6</v>
      </c>
      <c r="Q3" s="4">
        <v>10</v>
      </c>
      <c r="R3" s="2"/>
      <c r="S3" s="2"/>
    </row>
    <row r="4" spans="1:24" ht="13.5" customHeight="1">
      <c r="A4" s="161" t="s">
        <v>25</v>
      </c>
      <c r="B4" s="161"/>
      <c r="C4" s="162" t="s">
        <v>454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1.3333333333333333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370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455</v>
      </c>
      <c r="D3" s="168"/>
      <c r="E3" s="168"/>
      <c r="F3" s="168"/>
      <c r="G3" s="168"/>
      <c r="H3" s="168"/>
      <c r="I3" s="168"/>
      <c r="J3" s="168"/>
      <c r="K3" s="168"/>
      <c r="L3" s="168"/>
      <c r="M3" s="168"/>
      <c r="N3" s="168"/>
      <c r="P3" s="4">
        <v>6</v>
      </c>
      <c r="Q3" s="4">
        <v>10</v>
      </c>
      <c r="R3" s="2"/>
      <c r="S3" s="2"/>
    </row>
    <row r="4" spans="1:24" ht="13.5" customHeight="1">
      <c r="A4" s="161" t="s">
        <v>25</v>
      </c>
      <c r="B4" s="161"/>
      <c r="C4" s="162" t="s">
        <v>456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1.3333333333333333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457</v>
      </c>
      <c r="D3" s="168"/>
      <c r="E3" s="168"/>
      <c r="F3" s="168"/>
      <c r="G3" s="168"/>
      <c r="H3" s="168"/>
      <c r="I3" s="168"/>
      <c r="J3" s="168"/>
      <c r="K3" s="168"/>
      <c r="L3" s="168"/>
      <c r="M3" s="168"/>
      <c r="N3" s="168"/>
      <c r="P3" s="4">
        <v>6</v>
      </c>
      <c r="Q3" s="4">
        <v>10</v>
      </c>
      <c r="R3" s="2"/>
      <c r="S3" s="2"/>
    </row>
    <row r="4" spans="1:24" ht="13.5" customHeight="1">
      <c r="A4" s="161" t="s">
        <v>25</v>
      </c>
      <c r="B4" s="161"/>
      <c r="C4" s="162" t="s">
        <v>458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1.1666666666666667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367</v>
      </c>
      <c r="E26" s="152"/>
      <c r="F26" s="114" t="s">
        <v>367</v>
      </c>
      <c r="G26" s="114" t="s">
        <v>367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459</v>
      </c>
      <c r="D3" s="168"/>
      <c r="E3" s="168"/>
      <c r="F3" s="168"/>
      <c r="G3" s="168"/>
      <c r="H3" s="168"/>
      <c r="I3" s="168"/>
      <c r="J3" s="168"/>
      <c r="K3" s="168"/>
      <c r="L3" s="168"/>
      <c r="M3" s="168"/>
      <c r="N3" s="168"/>
      <c r="P3" s="4">
        <v>6</v>
      </c>
      <c r="Q3" s="4">
        <v>10</v>
      </c>
      <c r="R3" s="2"/>
      <c r="S3" s="2"/>
    </row>
    <row r="4" spans="1:24" ht="13.5" customHeight="1">
      <c r="A4" s="161" t="s">
        <v>25</v>
      </c>
      <c r="B4" s="161"/>
      <c r="C4" s="162" t="s">
        <v>460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0.66666666666666663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381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2</v>
      </c>
      <c r="E26" s="152"/>
      <c r="F26" s="114">
        <v>0</v>
      </c>
      <c r="G26" s="114">
        <v>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461</v>
      </c>
      <c r="D3" s="168"/>
      <c r="E3" s="168"/>
      <c r="F3" s="168"/>
      <c r="G3" s="168"/>
      <c r="H3" s="168"/>
      <c r="I3" s="168"/>
      <c r="J3" s="168"/>
      <c r="K3" s="168"/>
      <c r="L3" s="168"/>
      <c r="M3" s="168"/>
      <c r="N3" s="168"/>
      <c r="P3" s="4">
        <v>6</v>
      </c>
      <c r="Q3" s="4">
        <v>10</v>
      </c>
      <c r="R3" s="2"/>
      <c r="S3" s="2"/>
    </row>
    <row r="4" spans="1:24" ht="13.5" customHeight="1">
      <c r="A4" s="161" t="s">
        <v>25</v>
      </c>
      <c r="B4" s="161"/>
      <c r="C4" s="162" t="s">
        <v>462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359</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1.5</v>
      </c>
      <c r="E26" s="152"/>
      <c r="F26" s="114">
        <v>0.75</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463</v>
      </c>
      <c r="D3" s="168"/>
      <c r="E3" s="168"/>
      <c r="F3" s="168"/>
      <c r="G3" s="168"/>
      <c r="H3" s="168"/>
      <c r="I3" s="168"/>
      <c r="J3" s="168"/>
      <c r="K3" s="168"/>
      <c r="L3" s="168"/>
      <c r="M3" s="168"/>
      <c r="N3" s="168"/>
      <c r="P3" s="4">
        <v>6</v>
      </c>
      <c r="Q3" s="4">
        <v>10</v>
      </c>
      <c r="R3" s="2"/>
      <c r="S3" s="2"/>
    </row>
    <row r="4" spans="1:24" ht="13.5" customHeight="1">
      <c r="A4" s="161" t="s">
        <v>25</v>
      </c>
      <c r="B4" s="161"/>
      <c r="C4" s="162" t="s">
        <v>464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0.30555555555555558</v>
      </c>
      <c r="L10" s="158"/>
      <c r="M10" s="158">
        <f>$M$11/$D$11</f>
        <v>0.86111111111111116</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373</v>
      </c>
      <c r="L11" s="159"/>
      <c r="M11" s="159" t="s">
        <v>374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465</v>
      </c>
      <c r="D3" s="168"/>
      <c r="E3" s="168"/>
      <c r="F3" s="168"/>
      <c r="G3" s="168"/>
      <c r="H3" s="168"/>
      <c r="I3" s="168"/>
      <c r="J3" s="168"/>
      <c r="K3" s="168"/>
      <c r="L3" s="168"/>
      <c r="M3" s="168"/>
      <c r="N3" s="168"/>
      <c r="P3" s="4">
        <v>6</v>
      </c>
      <c r="Q3" s="4">
        <v>10</v>
      </c>
      <c r="R3" s="2"/>
      <c r="S3" s="2"/>
    </row>
    <row r="4" spans="1:24" ht="13.5" customHeight="1">
      <c r="A4" s="161" t="s">
        <v>25</v>
      </c>
      <c r="B4" s="161"/>
      <c r="C4" s="162" t="s">
        <v>466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377</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467</v>
      </c>
      <c r="D3" s="168"/>
      <c r="E3" s="168"/>
      <c r="F3" s="168"/>
      <c r="G3" s="168"/>
      <c r="H3" s="168"/>
      <c r="I3" s="168"/>
      <c r="J3" s="168"/>
      <c r="K3" s="168"/>
      <c r="L3" s="168"/>
      <c r="M3" s="168"/>
      <c r="N3" s="168"/>
      <c r="P3" s="4">
        <v>6</v>
      </c>
      <c r="Q3" s="4">
        <v>10</v>
      </c>
      <c r="R3" s="2"/>
      <c r="S3" s="2"/>
    </row>
    <row r="4" spans="1:24" ht="13.5" customHeight="1">
      <c r="A4" s="161" t="s">
        <v>25</v>
      </c>
      <c r="B4" s="161"/>
      <c r="C4" s="162" t="s">
        <v>468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381</v>
      </c>
      <c r="L11" s="159"/>
      <c r="M11" s="159" t="s">
        <v>359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469</v>
      </c>
      <c r="D3" s="168"/>
      <c r="E3" s="168"/>
      <c r="F3" s="168"/>
      <c r="G3" s="168"/>
      <c r="H3" s="168"/>
      <c r="I3" s="168"/>
      <c r="J3" s="168"/>
      <c r="K3" s="168"/>
      <c r="L3" s="168"/>
      <c r="M3" s="168"/>
      <c r="N3" s="168"/>
      <c r="P3" s="4">
        <v>6</v>
      </c>
      <c r="Q3" s="4">
        <v>10</v>
      </c>
      <c r="R3" s="2"/>
      <c r="S3" s="2"/>
    </row>
    <row r="4" spans="1:24" ht="13.5" customHeight="1">
      <c r="A4" s="161" t="s">
        <v>25</v>
      </c>
      <c r="B4" s="161"/>
      <c r="C4" s="162" t="s">
        <v>470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0.30555555555555558</v>
      </c>
      <c r="L10" s="158"/>
      <c r="M10" s="158">
        <f>$M$11/$D$11</f>
        <v>0.86111111111111116</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373</v>
      </c>
      <c r="L11" s="159"/>
      <c r="M11" s="159" t="s">
        <v>374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471</v>
      </c>
      <c r="D3" s="168"/>
      <c r="E3" s="168"/>
      <c r="F3" s="168"/>
      <c r="G3" s="168"/>
      <c r="H3" s="168"/>
      <c r="I3" s="168"/>
      <c r="J3" s="168"/>
      <c r="K3" s="168"/>
      <c r="L3" s="168"/>
      <c r="M3" s="168"/>
      <c r="N3" s="168"/>
      <c r="P3" s="4">
        <v>6</v>
      </c>
      <c r="Q3" s="4">
        <v>10</v>
      </c>
      <c r="R3" s="2"/>
      <c r="S3" s="2"/>
    </row>
    <row r="4" spans="1:24" ht="13.5" customHeight="1">
      <c r="A4" s="161" t="s">
        <v>25</v>
      </c>
      <c r="B4" s="161"/>
      <c r="C4" s="162" t="s">
        <v>472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v>
      </c>
      <c r="J10" s="158"/>
      <c r="K10" s="158">
        <f>$K$11/$D$11</f>
        <v>0.55555555555555558</v>
      </c>
      <c r="L10" s="158"/>
      <c r="M10" s="158">
        <f>$M$11/$D$11</f>
        <v>0.30555555555555558</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412</v>
      </c>
      <c r="L11" s="159"/>
      <c r="M11" s="159" t="s">
        <v>373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473</v>
      </c>
      <c r="D3" s="168"/>
      <c r="E3" s="168"/>
      <c r="F3" s="168"/>
      <c r="G3" s="168"/>
      <c r="H3" s="168"/>
      <c r="I3" s="168"/>
      <c r="J3" s="168"/>
      <c r="K3" s="168"/>
      <c r="L3" s="168"/>
      <c r="M3" s="168"/>
      <c r="N3" s="168"/>
      <c r="P3" s="4">
        <v>6</v>
      </c>
      <c r="Q3" s="4">
        <v>10</v>
      </c>
      <c r="R3" s="2"/>
      <c r="S3" s="2"/>
    </row>
    <row r="4" spans="1:24" ht="13.5" customHeight="1">
      <c r="A4" s="161" t="s">
        <v>25</v>
      </c>
      <c r="B4" s="161"/>
      <c r="C4" s="162" t="s">
        <v>474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475</v>
      </c>
      <c r="D3" s="168"/>
      <c r="E3" s="168"/>
      <c r="F3" s="168"/>
      <c r="G3" s="168"/>
      <c r="H3" s="168"/>
      <c r="I3" s="168"/>
      <c r="J3" s="168"/>
      <c r="K3" s="168"/>
      <c r="L3" s="168"/>
      <c r="M3" s="168"/>
      <c r="N3" s="168"/>
      <c r="P3" s="4">
        <v>6</v>
      </c>
      <c r="Q3" s="4">
        <v>10</v>
      </c>
      <c r="R3" s="2"/>
      <c r="S3" s="2"/>
    </row>
    <row r="4" spans="1:24" ht="13.5" customHeight="1">
      <c r="A4" s="161" t="s">
        <v>25</v>
      </c>
      <c r="B4" s="161"/>
      <c r="C4" s="162" t="s">
        <v>476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477</v>
      </c>
      <c r="D3" s="168"/>
      <c r="E3" s="168"/>
      <c r="F3" s="168"/>
      <c r="G3" s="168"/>
      <c r="H3" s="168"/>
      <c r="I3" s="168"/>
      <c r="J3" s="168"/>
      <c r="K3" s="168"/>
      <c r="L3" s="168"/>
      <c r="M3" s="168"/>
      <c r="N3" s="168"/>
      <c r="P3" s="4">
        <v>6</v>
      </c>
      <c r="Q3" s="4">
        <v>10</v>
      </c>
      <c r="R3" s="2"/>
      <c r="S3" s="2"/>
    </row>
    <row r="4" spans="1:24" ht="13.5" customHeight="1">
      <c r="A4" s="161" t="s">
        <v>25</v>
      </c>
      <c r="B4" s="161"/>
      <c r="C4" s="162" t="s">
        <v>478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0.69444444444444442</v>
      </c>
      <c r="L10" s="158"/>
      <c r="M10" s="158">
        <f>$M$11/$D$11</f>
        <v>0.47222222222222221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429</v>
      </c>
      <c r="L11" s="159"/>
      <c r="M11" s="159" t="s">
        <v>392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479</v>
      </c>
      <c r="D3" s="168"/>
      <c r="E3" s="168"/>
      <c r="F3" s="168"/>
      <c r="G3" s="168"/>
      <c r="H3" s="168"/>
      <c r="I3" s="168"/>
      <c r="J3" s="168"/>
      <c r="K3" s="168"/>
      <c r="L3" s="168"/>
      <c r="M3" s="168"/>
      <c r="N3" s="168"/>
      <c r="P3" s="4">
        <v>6</v>
      </c>
      <c r="Q3" s="4">
        <v>10</v>
      </c>
      <c r="R3" s="2"/>
      <c r="S3" s="2"/>
    </row>
    <row r="4" spans="1:24" ht="13.5" customHeight="1">
      <c r="A4" s="161" t="s">
        <v>25</v>
      </c>
      <c r="B4" s="161"/>
      <c r="C4" s="162" t="s">
        <v>480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v>
      </c>
      <c r="J10" s="158"/>
      <c r="K10" s="158">
        <f>$K$11/$D$11</f>
        <v>0.55555555555555558</v>
      </c>
      <c r="L10" s="158"/>
      <c r="M10" s="158">
        <f>$M$11/$D$11</f>
        <v>0.30555555555555558</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412</v>
      </c>
      <c r="L11" s="159"/>
      <c r="M11" s="159" t="s">
        <v>373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481</v>
      </c>
      <c r="D3" s="168"/>
      <c r="E3" s="168"/>
      <c r="F3" s="168"/>
      <c r="G3" s="168"/>
      <c r="H3" s="168"/>
      <c r="I3" s="168"/>
      <c r="J3" s="168"/>
      <c r="K3" s="168"/>
      <c r="L3" s="168"/>
      <c r="M3" s="168"/>
      <c r="N3" s="168"/>
      <c r="P3" s="4">
        <v>6</v>
      </c>
      <c r="Q3" s="4">
        <v>10</v>
      </c>
      <c r="R3" s="2"/>
      <c r="S3" s="2"/>
    </row>
    <row r="4" spans="1:24" ht="13.5" customHeight="1">
      <c r="A4" s="161" t="s">
        <v>25</v>
      </c>
      <c r="B4" s="161"/>
      <c r="C4" s="162" t="s">
        <v>482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377</v>
      </c>
      <c r="L11" s="159"/>
      <c r="M11" s="159" t="s">
        <v>378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483</v>
      </c>
      <c r="D3" s="168"/>
      <c r="E3" s="168"/>
      <c r="F3" s="168"/>
      <c r="G3" s="168"/>
      <c r="H3" s="168"/>
      <c r="I3" s="168"/>
      <c r="J3" s="168"/>
      <c r="K3" s="168"/>
      <c r="L3" s="168"/>
      <c r="M3" s="168"/>
      <c r="N3" s="168"/>
      <c r="P3" s="4">
        <v>6</v>
      </c>
      <c r="Q3" s="4">
        <v>10</v>
      </c>
      <c r="R3" s="2"/>
      <c r="S3" s="2"/>
    </row>
    <row r="4" spans="1:24" ht="13.5" customHeight="1">
      <c r="A4" s="161" t="s">
        <v>25</v>
      </c>
      <c r="B4" s="161"/>
      <c r="C4" s="162" t="s">
        <v>484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0.33333333333333331</v>
      </c>
      <c r="L10" s="158"/>
      <c r="M10" s="158">
        <f>$M$11/$D$11</f>
        <v>0.83333333333333337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378</v>
      </c>
      <c r="L11" s="159"/>
      <c r="M11" s="159" t="s">
        <v>377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485</v>
      </c>
      <c r="D3" s="168"/>
      <c r="E3" s="168"/>
      <c r="F3" s="168"/>
      <c r="G3" s="168"/>
      <c r="H3" s="168"/>
      <c r="I3" s="168"/>
      <c r="J3" s="168"/>
      <c r="K3" s="168"/>
      <c r="L3" s="168"/>
      <c r="M3" s="168"/>
      <c r="N3" s="168"/>
      <c r="P3" s="4">
        <v>6</v>
      </c>
      <c r="Q3" s="4">
        <v>10</v>
      </c>
      <c r="R3" s="2"/>
      <c r="S3" s="2"/>
    </row>
    <row r="4" spans="1:24" ht="13.5" customHeight="1">
      <c r="A4" s="161" t="s">
        <v>25</v>
      </c>
      <c r="B4" s="161"/>
      <c r="C4" s="162" t="s">
        <v>486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1.1666666666666667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69</vt:i4>
      </vt:variant>
      <vt:variant>
        <vt:lpstr>Named Ranges</vt:lpstr>
      </vt:variant>
      <vt:variant>
        <vt:i4>74</vt:i4>
      </vt:variant>
    </vt:vector>
  </HeadingPairs>
  <TitlesOfParts>
    <vt:vector size="143" baseType="lpstr">
      <vt:lpstr>CS_ELECT</vt:lpstr>
      <vt:lpstr>HSS_ELECT</vt:lpstr>
      <vt:lpstr>LANG_ELECT</vt:lpstr>
      <vt:lpstr>NSCI_ELECT</vt:lpstr>
      <vt:lpstr>TECH_ELECT</vt:lpstr>
      <vt:lpstr>RES_ELECT</vt:lpstr>
      <vt:lpstr>MDEP437</vt:lpstr>
      <vt:lpstr>MECH213</vt:lpstr>
      <vt:lpstr>MECH215</vt:lpstr>
      <vt:lpstr>MECH216</vt:lpstr>
      <vt:lpstr>MECH221</vt:lpstr>
      <vt:lpstr>MECH228</vt:lpstr>
      <vt:lpstr>MECH230</vt:lpstr>
      <vt:lpstr>MECH241</vt:lpstr>
      <vt:lpstr>MECH270</vt:lpstr>
      <vt:lpstr>MECH321</vt:lpstr>
      <vt:lpstr>MECH323</vt:lpstr>
      <vt:lpstr>MECH328</vt:lpstr>
      <vt:lpstr>MECH330</vt:lpstr>
      <vt:lpstr>MECH333</vt:lpstr>
      <vt:lpstr>MECH341</vt:lpstr>
      <vt:lpstr>MECH346</vt:lpstr>
      <vt:lpstr>MECH350</vt:lpstr>
      <vt:lpstr>MECH361</vt:lpstr>
      <vt:lpstr>MECH370</vt:lpstr>
      <vt:lpstr>MECH371</vt:lpstr>
      <vt:lpstr>MECH393</vt:lpstr>
      <vt:lpstr>MECH396</vt:lpstr>
      <vt:lpstr>MECH397</vt:lpstr>
      <vt:lpstr>MECH398</vt:lpstr>
      <vt:lpstr>MECH399</vt:lpstr>
      <vt:lpstr>MECH420</vt:lpstr>
      <vt:lpstr>MECH423</vt:lpstr>
      <vt:lpstr>MECH424</vt:lpstr>
      <vt:lpstr>MECH430</vt:lpstr>
      <vt:lpstr>MECH435</vt:lpstr>
      <vt:lpstr>MECH439</vt:lpstr>
      <vt:lpstr>MECH441</vt:lpstr>
      <vt:lpstr>MECH444</vt:lpstr>
      <vt:lpstr>MECH448</vt:lpstr>
      <vt:lpstr>MECH452</vt:lpstr>
      <vt:lpstr>MECH455</vt:lpstr>
      <vt:lpstr>MECH456</vt:lpstr>
      <vt:lpstr>MECH458</vt:lpstr>
      <vt:lpstr>MECH460</vt:lpstr>
      <vt:lpstr>MECH461</vt:lpstr>
      <vt:lpstr>MECH462</vt:lpstr>
      <vt:lpstr>MECH463</vt:lpstr>
      <vt:lpstr>MECH464</vt:lpstr>
      <vt:lpstr>MECH465</vt:lpstr>
      <vt:lpstr>MECH470</vt:lpstr>
      <vt:lpstr>MECH476</vt:lpstr>
      <vt:lpstr>MECH478</vt:lpstr>
      <vt:lpstr>MECH479</vt:lpstr>
      <vt:lpstr>MECH480</vt:lpstr>
      <vt:lpstr>MECH481</vt:lpstr>
      <vt:lpstr>MECH482</vt:lpstr>
      <vt:lpstr>MECH483</vt:lpstr>
      <vt:lpstr>MECH484</vt:lpstr>
      <vt:lpstr>MECH494</vt:lpstr>
      <vt:lpstr>MECH495</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FIC!Print_Area</vt:lpstr>
      <vt:lpstr>HSS_ELECT!Print_Area</vt:lpstr>
      <vt:lpstr>LANG_ELECT!Print_Area</vt:lpstr>
      <vt:lpstr>MDEP437!Print_Area</vt:lpstr>
      <vt:lpstr>MECH213!Print_Area</vt:lpstr>
      <vt:lpstr>MECH215!Print_Area</vt:lpstr>
      <vt:lpstr>MECH216!Print_Area</vt:lpstr>
      <vt:lpstr>MECH221!Print_Area</vt:lpstr>
      <vt:lpstr>MECH228!Print_Area</vt:lpstr>
      <vt:lpstr>MECH230!Print_Area</vt:lpstr>
      <vt:lpstr>MECH241!Print_Area</vt:lpstr>
      <vt:lpstr>MECH270!Print_Area</vt:lpstr>
      <vt:lpstr>MECH321!Print_Area</vt:lpstr>
      <vt:lpstr>MECH323!Print_Area</vt:lpstr>
      <vt:lpstr>MECH328!Print_Area</vt:lpstr>
      <vt:lpstr>MECH330!Print_Area</vt:lpstr>
      <vt:lpstr>MECH333!Print_Area</vt:lpstr>
      <vt:lpstr>MECH341!Print_Area</vt:lpstr>
      <vt:lpstr>MECH346!Print_Area</vt:lpstr>
      <vt:lpstr>MECH350!Print_Area</vt:lpstr>
      <vt:lpstr>MECH361!Print_Area</vt:lpstr>
      <vt:lpstr>MECH370!Print_Area</vt:lpstr>
      <vt:lpstr>MECH371!Print_Area</vt:lpstr>
      <vt:lpstr>MECH393!Print_Area</vt:lpstr>
      <vt:lpstr>MECH396!Print_Area</vt:lpstr>
      <vt:lpstr>MECH397!Print_Area</vt:lpstr>
      <vt:lpstr>MECH398!Print_Area</vt:lpstr>
      <vt:lpstr>MECH399!Print_Area</vt:lpstr>
      <vt:lpstr>MECH420!Print_Area</vt:lpstr>
      <vt:lpstr>MECH423!Print_Area</vt:lpstr>
      <vt:lpstr>MECH424!Print_Area</vt:lpstr>
      <vt:lpstr>MECH430!Print_Area</vt:lpstr>
      <vt:lpstr>MECH435!Print_Area</vt:lpstr>
      <vt:lpstr>MECH439!Print_Area</vt:lpstr>
      <vt:lpstr>MECH441!Print_Area</vt:lpstr>
      <vt:lpstr>MECH444!Print_Area</vt:lpstr>
      <vt:lpstr>MECH448!Print_Area</vt:lpstr>
      <vt:lpstr>MECH452!Print_Area</vt:lpstr>
      <vt:lpstr>MECH455!Print_Area</vt:lpstr>
      <vt:lpstr>MECH456!Print_Area</vt:lpstr>
      <vt:lpstr>MECH458!Print_Area</vt:lpstr>
      <vt:lpstr>MECH460!Print_Area</vt:lpstr>
      <vt:lpstr>MECH461!Print_Area</vt:lpstr>
      <vt:lpstr>MECH462!Print_Area</vt:lpstr>
      <vt:lpstr>MECH463!Print_Area</vt:lpstr>
      <vt:lpstr>MECH464!Print_Area</vt:lpstr>
      <vt:lpstr>MECH465!Print_Area</vt:lpstr>
      <vt:lpstr>MECH470!Print_Area</vt:lpstr>
      <vt:lpstr>MECH476!Print_Area</vt:lpstr>
      <vt:lpstr>MECH478!Print_Area</vt:lpstr>
      <vt:lpstr>MECH479!Print_Area</vt:lpstr>
      <vt:lpstr>MECH480!Print_Area</vt:lpstr>
      <vt:lpstr>MECH481!Print_Area</vt:lpstr>
      <vt:lpstr>MECH482!Print_Area</vt:lpstr>
      <vt:lpstr>MECH483!Print_Area</vt:lpstr>
      <vt:lpstr>MECH484!Print_Area</vt:lpstr>
      <vt:lpstr>MECH494!Print_Area</vt:lpstr>
      <vt:lpstr>MECH495!Print_Area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2015-08-23T19:09:58Z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