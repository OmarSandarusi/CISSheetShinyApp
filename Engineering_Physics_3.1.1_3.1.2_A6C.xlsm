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30" activeTab="37"/>
  </bookViews>
  <sheets>
    <sheet name="CS_ELECT" sheetId="20" r:id="rId1"/>
    <sheet name="HSS_ELECT" sheetId="21" r:id="rId2"/>
    <sheet name="LANG_ELECT" sheetId="22" r:id="rId3"/>
    <sheet name="NSCI_ELECT" sheetId="25" r:id="rId4"/>
    <sheet name="TECH_ELECT" sheetId="29" r:id="rId5"/>
    <sheet name="RES_ELECT" sheetId="28" r:id="rId6"/>
    <sheet name="ENPH211" sheetId="51" r:id="rId7"/>
    <sheet name="ENPH213" sheetId="52" r:id="rId8"/>
    <sheet name="ENPH225" sheetId="53" r:id="rId9"/>
    <sheet name="ENPH239" sheetId="54" r:id="rId10"/>
    <sheet name="ENPH242" sheetId="55" r:id="rId11"/>
    <sheet name="ENPH252" sheetId="56" r:id="rId12"/>
    <sheet name="ENPH253" sheetId="57" r:id="rId13"/>
    <sheet name="ENPH312" sheetId="58" r:id="rId14"/>
    <sheet name="ENPH321" sheetId="59" r:id="rId15"/>
    <sheet name="ENPH334" sheetId="60" r:id="rId16"/>
    <sheet name="ENPH336" sheetId="61" r:id="rId17"/>
    <sheet name="ENPH344" sheetId="62" r:id="rId18"/>
    <sheet name="ENPH345" sheetId="63" r:id="rId19"/>
    <sheet name="ENPH353" sheetId="64" r:id="rId20"/>
    <sheet name="ENPH354" sheetId="65" r:id="rId21"/>
    <sheet name="ENPH372" sheetId="66" r:id="rId22"/>
    <sheet name="ENPH414" sheetId="67" r:id="rId23"/>
    <sheet name="ENPH431" sheetId="68" r:id="rId24"/>
    <sheet name="ENPH444" sheetId="69" r:id="rId25"/>
    <sheet name="ENPH453" sheetId="70" r:id="rId26"/>
    <sheet name="ENPH454" sheetId="71" r:id="rId27"/>
    <sheet name="ENPH455" sheetId="72" r:id="rId28"/>
    <sheet name="ENPH456" sheetId="73" r:id="rId29"/>
    <sheet name="ENPH457" sheetId="74" r:id="rId30"/>
    <sheet name="ENPH460" sheetId="75" r:id="rId31"/>
    <sheet name="ENPH472" sheetId="76" r:id="rId32"/>
    <sheet name="ENPH480" sheetId="77" r:id="rId33"/>
    <sheet name="ENPH481" sheetId="78" r:id="rId34"/>
    <sheet name="ENPH483" sheetId="79" r:id="rId35"/>
    <sheet name="ENPH490" sheetId="80" r:id="rId36"/>
    <sheet name="ENPH491" sheetId="81" r:id="rId37"/>
    <sheet name="ENPH495" sheetId="82" r:id="rId38"/>
    <sheet name="CIS" sheetId="8" r:id="rId39"/>
    <sheet name="FIC" sheetId="47" r:id="rId40"/>
    <sheet name="3.1.1" sheetId="18" r:id="rId41"/>
    <sheet name="3.1.1a" sheetId="48" r:id="rId42"/>
    <sheet name="3.1.1b" sheetId="49" r:id="rId43"/>
    <sheet name="3.1.1c" sheetId="50" r:id="rId44"/>
    <sheet name="3.1.2" sheetId="38" r:id="rId45"/>
    <sheet name="LU" sheetId="30" r:id="rId46"/>
  </sheets>
  <functionGroups builtInGroupCount="18"/>
  <externalReferences>
    <externalReference r:id="rId47"/>
  </externalReferences>
  <definedNames>
    <definedName name="CLevelRef1" localSheetId="43">'3.1.1c'!$A$4:$A$103</definedName>
    <definedName name="CLevelRef1">'3.1.1b'!$A$4:$A$103</definedName>
    <definedName name="CLevelRef2" localSheetId="41">#REF!</definedName>
    <definedName name="CLevelRef2" localSheetId="43">'3.1.1c'!$A$4:$A$103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 localSheetId="35">#REF!</definedName>
    <definedName name="CLevelRef2" localSheetId="36">#REF!</definedName>
    <definedName name="CLevelRef2" localSheetId="37">#REF!</definedName>
    <definedName name="CLevelRef2">#REF!</definedName>
    <definedName name="CLkUpRef">LU!$A$2:$C$97</definedName>
    <definedName name="CMapRef1" localSheetId="41">'3.1.1a'!$C$5:$J$107</definedName>
    <definedName name="CMapRef1">'3.1.1'!$C$5:$J$107</definedName>
    <definedName name="CMapRef2" localSheetId="41">'3.1.1a'!$C$5:$J$104</definedName>
    <definedName name="CMapRef2" localSheetId="43">#REF!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 localSheetId="35">#REF!</definedName>
    <definedName name="CMapRef2" localSheetId="36">#REF!</definedName>
    <definedName name="CMapRef2" localSheetId="37">#REF!</definedName>
    <definedName name="CMapRef2">#REF!</definedName>
    <definedName name="CNameRef" localSheetId="39">[1]LU!$A$2:$A$101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40">'3.1.1'!$A$1:$J$67</definedName>
    <definedName name="_xlnm.Print_Area" localSheetId="41">'3.1.1a'!$A$1:$J$67</definedName>
    <definedName name="_xlnm.Print_Area" localSheetId="44">'3.1.2'!$A$1:$E$80</definedName>
    <definedName name="_xlnm.Print_Area" localSheetId="38">CIS!$A$1:$N$57</definedName>
    <definedName name="_xlnm.Print_Area" localSheetId="0">CS_ELECT!$A$1:$N$58</definedName>
    <definedName name="_xlnm.Print_Area" localSheetId="6">ENPH211!$A$1:$N$57</definedName>
    <definedName name="_xlnm.Print_Area" localSheetId="7">ENPH213!$A$1:$N$57</definedName>
    <definedName name="_xlnm.Print_Area" localSheetId="8">ENPH225!$A$1:$N$57</definedName>
    <definedName name="_xlnm.Print_Area" localSheetId="9">ENPH239!$A$1:$N$57</definedName>
    <definedName name="_xlnm.Print_Area" localSheetId="10">ENPH242!$A$1:$N$57</definedName>
    <definedName name="_xlnm.Print_Area" localSheetId="11">ENPH252!$A$1:$N$57</definedName>
    <definedName name="_xlnm.Print_Area" localSheetId="12">ENPH253!$A$1:$N$57</definedName>
    <definedName name="_xlnm.Print_Area" localSheetId="13">ENPH312!$A$1:$N$57</definedName>
    <definedName name="_xlnm.Print_Area" localSheetId="14">ENPH321!$A$1:$N$57</definedName>
    <definedName name="_xlnm.Print_Area" localSheetId="15">ENPH334!$A$1:$N$57</definedName>
    <definedName name="_xlnm.Print_Area" localSheetId="16">ENPH336!$A$1:$N$57</definedName>
    <definedName name="_xlnm.Print_Area" localSheetId="17">ENPH344!$A$1:$N$57</definedName>
    <definedName name="_xlnm.Print_Area" localSheetId="18">ENPH345!$A$1:$N$57</definedName>
    <definedName name="_xlnm.Print_Area" localSheetId="19">ENPH353!$A$1:$N$57</definedName>
    <definedName name="_xlnm.Print_Area" localSheetId="20">ENPH354!$A$1:$N$57</definedName>
    <definedName name="_xlnm.Print_Area" localSheetId="21">ENPH372!$A$1:$N$57</definedName>
    <definedName name="_xlnm.Print_Area" localSheetId="22">ENPH414!$A$1:$N$57</definedName>
    <definedName name="_xlnm.Print_Area" localSheetId="23">ENPH431!$A$1:$N$57</definedName>
    <definedName name="_xlnm.Print_Area" localSheetId="24">ENPH444!$A$1:$N$57</definedName>
    <definedName name="_xlnm.Print_Area" localSheetId="25">ENPH453!$A$1:$N$57</definedName>
    <definedName name="_xlnm.Print_Area" localSheetId="26">ENPH454!$A$1:$N$57</definedName>
    <definedName name="_xlnm.Print_Area" localSheetId="27">ENPH455!$A$1:$N$57</definedName>
    <definedName name="_xlnm.Print_Area" localSheetId="28">ENPH456!$A$1:$N$57</definedName>
    <definedName name="_xlnm.Print_Area" localSheetId="29">ENPH457!$A$1:$N$57</definedName>
    <definedName name="_xlnm.Print_Area" localSheetId="30">ENPH460!$A$1:$N$57</definedName>
    <definedName name="_xlnm.Print_Area" localSheetId="31">ENPH472!$A$1:$N$57</definedName>
    <definedName name="_xlnm.Print_Area" localSheetId="32">ENPH480!$A$1:$N$57</definedName>
    <definedName name="_xlnm.Print_Area" localSheetId="33">ENPH481!$A$1:$N$57</definedName>
    <definedName name="_xlnm.Print_Area" localSheetId="34">ENPH483!$A$1:$N$57</definedName>
    <definedName name="_xlnm.Print_Area" localSheetId="35">ENPH490!$A$1:$N$57</definedName>
    <definedName name="_xlnm.Print_Area" localSheetId="36">ENPH491!$A$1:$N$57</definedName>
    <definedName name="_xlnm.Print_Area" localSheetId="37">ENPH495!$A$1:$N$57</definedName>
    <definedName name="_xlnm.Print_Area" localSheetId="39">FIC!$A$1:$N$57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4">TECH_ELECT!$A$1:$N$58</definedName>
  </definedNames>
  <calcPr calcId="152511"/>
</workbook>
</file>

<file path=xl/calcChain.xml><?xml version="1.0" encoding="utf-8"?>
<calcChain xmlns="http://schemas.openxmlformats.org/spreadsheetml/2006/main">
  <c r="M10" i="82" l="1"/>
  <c r="K10" i="82"/>
  <c r="I10" i="82"/>
  <c r="G10" i="82"/>
  <c r="E10" i="82"/>
  <c r="M10" i="81"/>
  <c r="K10" i="81"/>
  <c r="I10" i="81"/>
  <c r="G10" i="81"/>
  <c r="E10" i="81"/>
  <c r="M10" i="80"/>
  <c r="K10" i="80"/>
  <c r="I10" i="80"/>
  <c r="G10" i="80"/>
  <c r="E10" i="80"/>
  <c r="M10" i="79"/>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<sst xmlns="http://schemas.openxmlformats.org/spreadsheetml/2006/main" count="5766" uniqueCount="442">
  <si>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</si>
  <si>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</si>
  <si>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</si>
  <si>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</si>
  <si>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</si>
  <si>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</si>
  <si>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</si>
  <si>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</si>
  <si>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</si>
  <si>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</si>
  <si>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</si>
  <si>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</si>
  <si>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</si>
  <si>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</si>
  <si>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</si>
  <si>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</si>
  <si>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</si>
  <si>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</si>
  <si>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</si>
  <si>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</si>
  <si>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</si>
  <si>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</si>
  <si>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</si>
  <si>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</si>
  <si>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</si>
  <si>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</si>
  <si>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</si>
  <si>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</si>
  <si>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</si>
  <si>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</si>
  <si>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</si>
  <si>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</si>
  <si>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</si>
  <si>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</si>
  <si>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</si>
  <si>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</si>
  <si>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</si>
  <si>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</si>
  <si>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</si>
  <si>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</si>
  <si>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</si>
  <si>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</si>
  <si>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</si>
  <si>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</si>
  <si>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</si>
  <si>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</si>
  <si>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</si>
  <si>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</si>
  <si>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</si>
  <si>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</si>
  <si>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</si>
  <si>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</si>
  <si>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</si>
  <si>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</si>
  <si>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</si>
  <si>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</si>
  <si>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</si>
  <si>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</si>
  <si>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</si>
  <si>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</si>
  <si>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</si>
  <si>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</si>
  <si>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</si>
  <si>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</si>
  <si>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</si>
  <si>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</si>
  <si>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</si>
  <si>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</si>
  <si>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</si>
  <si>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</si>
  <si>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</si>
  <si>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</si>
  <si>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</si>
  <si>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</si>
  <si>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</si>
  <si>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</si>
  <si>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</si>
  <si>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</si>
  <si>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</si>
  <si>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</si>
  <si>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</si>
  <si>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</si>
  <si>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</si>
  <si>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</si>
  <si>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</si>
  <si>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</si>
  <si>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</si>
  <si>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</si>
  <si>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</si>
  <si>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</si>
  <si>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</si>
  <si>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</si>
  <si>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</si>
  <si>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</si>
  <si>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</si>
  <si>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</si>
  <si>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</si>
  <si>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</si>
  <si>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</si>
  <si>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</si>
  <si>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</si>
  <si>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</si>
  <si>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</si>
  <si>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</si>
  <si>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</si>
  <si>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</si>
  <si>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</si>
  <si>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</si>
  <si>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</si>
  <si>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</si>
  <si>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</si>
  <si>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</si>
  <si>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</si>
  <si>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</si>
  <si>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</si>
  <si>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</si>
  <si>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</si>
  <si>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</si>
  <si>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</si>
  <si>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</si>
  <si>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</si>
  <si>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</si>
  <si>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</si>
  <si>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</si>
  <si>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</si>
  <si>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</si>
  <si>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</si>
  <si>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</si>
  <si>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</si>
  <si>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</si>
  <si>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</si>
  <si>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</si>
  <si>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</si>
  <si>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</si>
  <si>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</si>
  <si>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</si>
  <si>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</si>
  <si>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</si>
  <si>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</si>
  <si>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</si>
  <si>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</si>
  <si>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</si>
  <si>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</si>
  <si>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</si>
  <si>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</si>
  <si>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</si>
  <si>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</si>
  <si>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</si>
  <si>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</si>
  <si>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</si>
  <si>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</si>
  <si>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</si>
  <si>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</si>
  <si>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</si>
  <si>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</si>
  <si>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</si>
  <si>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</si>
  <si>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</si>
  <si>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</si>
  <si>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</si>
  <si>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</si>
  <si>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</si>
  <si>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</si>
  <si>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</si>
  <si>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</si>
  <si>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</si>
  <si>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</si>
  <si>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</si>
  <si>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</si>
  <si>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</si>
  <si>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</si>
  <si>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</si>
  <si>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</si>
  <si>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</si>
  <si>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</si>
  <si>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</si>
  <si>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</si>
  <si>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</si>
  <si>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</si>
  <si>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</si>
  <si>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</si>
  <si>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</si>
  <si>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</si>
  <si>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</si>
  <si>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</si>
  <si>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</si>
  <si>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</si>
  <si>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</si>
  <si>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</si>
  <si>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</si>
  <si>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</si>
  <si>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</si>
  <si>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</si>
  <si>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</si>
  <si>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</si>
  <si>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</si>
  <si>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</si>
  <si>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</si>
  <si>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</si>
  <si>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</si>
  <si>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</si>
  <si>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</si>
  <si>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</si>
  <si>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</si>
  <si>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</si>
  <si>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</si>
  <si>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</si>
  <si>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</si>
  <si>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</si>
  <si>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</si>
  <si>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</si>
  <si>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</si>
  <si>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</si>
  <si>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</si>
  <si>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</si>
  <si>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</si>
  <si>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</si>
  <si>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</si>
  <si>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</si>
  <si>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</si>
  <si>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</si>
  <si>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</si>
  <si>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</si>
  <si>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</si>
  <si>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</si>
  <si>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</si>
  <si>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</si>
  <si>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</si>
  <si>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</si>
  <si>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</si>
  <si>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</si>
  <si>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</si>
  <si>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</si>
  <si>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</si>
  <si>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</si>
  <si>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</si>
  <si>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</si>
  <si>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</si>
  <si>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</si>
  <si>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</si>
  <si>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</si>
  <si>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</si>
  <si>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</si>
  <si>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</si>
  <si>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</si>
  <si>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</si>
  <si>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</si>
  <si>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</si>
  <si>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</si>
  <si>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</si>
  <si>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</si>
  <si>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</si>
  <si>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</si>
  <si>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</si>
  <si>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</si>
  <si>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</si>
  <si>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</si>
  <si>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</si>
  <si>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</si>
  <si>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</si>
  <si>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</si>
  <si>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</si>
  <si>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</si>
  <si>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</si>
  <si>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</si>
  <si>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</si>
  <si>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</si>
  <si>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</si>
  <si>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</si>
  <si>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</si>
  <si>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</si>
  <si>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</si>
  <si>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</si>
  <si>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</si>
  <si>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</si>
  <si>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</si>
  <si>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</si>
  <si>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</si>
  <si>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</si>
  <si>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</si>
  <si>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</si>
  <si>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</si>
  <si>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</si>
  <si>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</si>
  <si>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</si>
  <si>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</si>
  <si>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</si>
  <si>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</si>
  <si>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</si>
  <si>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</si>
  <si>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</si>
  <si>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</si>
  <si>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</si>
  <si>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</si>
  <si>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</si>
  <si>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</si>
  <si>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</si>
  <si>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</si>
  <si>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</si>
  <si>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</si>
  <si>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</si>
  <si>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</si>
  <si>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</si>
  <si>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</si>
  <si>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</si>
  <si>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</si>
  <si>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</si>
  <si>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</si>
  <si>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</si>
  <si>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</si>
  <si>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</si>
  <si>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</si>
  <si>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</si>
  <si>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</si>
  <si>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</si>
  <si>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</si>
  <si>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</si>
  <si>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</si>
  <si>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</si>
  <si>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</si>
  <si>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</si>
  <si>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</si>
  <si>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</si>
  <si>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</si>
  <si>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</si>
  <si>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</si>
  <si>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</si>
  <si>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</si>
  <si>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</si>
  <si>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</si>
  <si>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</si>
  <si>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</si>
  <si>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</si>
  <si>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</si>
  <si>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</si>
  <si>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</si>
  <si>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</si>
  <si>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</si>
  <si>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</si>
  <si>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</si>
  <si>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</si>
  <si>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</si>
  <si>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</si>
  <si>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</si>
  <si>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</si>
  <si>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</si>
  <si>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</si>
  <si>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</si>
  <si>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</si>
  <si>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</si>
  <si>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</si>
  <si>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</si>
  <si>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ENPH 211</t>
  </si>
  <si>
    <t>Applied Physics</t>
  </si>
  <si>
    <t>0</t>
  </si>
  <si>
    <t>11</t>
  </si>
  <si>
    <t>31</t>
  </si>
  <si>
    <t>ENPH 213</t>
  </si>
  <si>
    <t>Computational Engineering Physics</t>
  </si>
  <si>
    <t>12</t>
  </si>
  <si>
    <t>21</t>
  </si>
  <si>
    <t>15</t>
  </si>
  <si>
    <t>ENPH 225</t>
  </si>
  <si>
    <t>Mechanics</t>
  </si>
  <si>
    <t>42</t>
  </si>
  <si>
    <t>ENPH 239</t>
  </si>
  <si>
    <t>Electricity and Magnetism</t>
  </si>
  <si>
    <t>17</t>
  </si>
  <si>
    <t>25</t>
  </si>
  <si>
    <t>ENPH 242</t>
  </si>
  <si>
    <t>Relativity and Quanta</t>
  </si>
  <si>
    <t>ENPH 252</t>
  </si>
  <si>
    <t>Management of Experimental Data</t>
  </si>
  <si>
    <t>8</t>
  </si>
  <si>
    <t>6</t>
  </si>
  <si>
    <t>ENPH 253</t>
  </si>
  <si>
    <t>Engineering Physics Laboratory</t>
  </si>
  <si>
    <t>NA</t>
  </si>
  <si>
    <t>ENPH 312</t>
  </si>
  <si>
    <t>Mathematical Methods in Physics</t>
  </si>
  <si>
    <t>63</t>
  </si>
  <si>
    <t>ENPH 321</t>
  </si>
  <si>
    <t>Advanced Mechanics</t>
  </si>
  <si>
    <t>20</t>
  </si>
  <si>
    <t>ENPH 334</t>
  </si>
  <si>
    <t>Electronics for Applied Scientists</t>
  </si>
  <si>
    <t>27</t>
  </si>
  <si>
    <t>ENPH 336</t>
  </si>
  <si>
    <t>Solid State Devices</t>
  </si>
  <si>
    <t>18</t>
  </si>
  <si>
    <t>ENPH 344</t>
  </si>
  <si>
    <t>Introduction to Quantum Mechanics</t>
  </si>
  <si>
    <t>ENPH 345</t>
  </si>
  <si>
    <t>Quantum Physics of Atoms, Nuclei and Particles</t>
  </si>
  <si>
    <t>ENPH 353</t>
  </si>
  <si>
    <t>Engineering Physics Laboratory II</t>
  </si>
  <si>
    <t>14</t>
  </si>
  <si>
    <t>ENPH 354</t>
  </si>
  <si>
    <t>Engineering Physics Design Project</t>
  </si>
  <si>
    <t>ENPH 372</t>
  </si>
  <si>
    <t>Thermodynamics</t>
  </si>
  <si>
    <t>ENPH 414</t>
  </si>
  <si>
    <t>Introduction to General Relativity</t>
  </si>
  <si>
    <t>24</t>
  </si>
  <si>
    <t>ENPH 431</t>
  </si>
  <si>
    <t>Electromagnetic Theory</t>
  </si>
  <si>
    <t>ENPH 444</t>
  </si>
  <si>
    <t>Advanced Quantum Physics</t>
  </si>
  <si>
    <t>36</t>
  </si>
  <si>
    <t>ENPH 453</t>
  </si>
  <si>
    <t>Advanced Physics Laboratory</t>
  </si>
  <si>
    <t>ENPH 454</t>
  </si>
  <si>
    <t>Advanced Engineering Physics Design Project</t>
  </si>
  <si>
    <t>40</t>
  </si>
  <si>
    <t>ENPH 455</t>
  </si>
  <si>
    <t>Engineering Physics Thesis</t>
  </si>
  <si>
    <t>ENPH 456</t>
  </si>
  <si>
    <t>Advanced Engineering Physics Thesis I</t>
  </si>
  <si>
    <t>10</t>
  </si>
  <si>
    <t>ENPH 457</t>
  </si>
  <si>
    <t>Advanced Engineering Physics Thesis II</t>
  </si>
  <si>
    <t>28</t>
  </si>
  <si>
    <t>48</t>
  </si>
  <si>
    <t>32</t>
  </si>
  <si>
    <t>ENPH 460</t>
  </si>
  <si>
    <t>Laser Optics</t>
  </si>
  <si>
    <t>ENPH 472</t>
  </si>
  <si>
    <t>Statistical Mechanics</t>
  </si>
  <si>
    <t>ENPH 480</t>
  </si>
  <si>
    <t>Solid State Physics</t>
  </si>
  <si>
    <t>ENPH 481</t>
  </si>
  <si>
    <t>Solid State Device Physics</t>
  </si>
  <si>
    <t>30</t>
  </si>
  <si>
    <t>ENPH 483</t>
  </si>
  <si>
    <t>Nanoscience and Nanotechnology</t>
  </si>
  <si>
    <t>ENPH 490</t>
  </si>
  <si>
    <t>Nuclear Physics</t>
  </si>
  <si>
    <t>ENPH 491</t>
  </si>
  <si>
    <t>Physics of Nuclear Reactors</t>
  </si>
  <si>
    <t>ENPH 495</t>
  </si>
  <si>
    <t>Introduction to Medical Physics</t>
  </si>
  <si>
    <t>9</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</si>
</sst>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v>
      </c>
      <c r="J10" s="158"/>
      <c r="K10" s="158">
        <f>$K$11/$D$11</f>
        <v>0.86111111111111116</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354</v>
      </c>
      <c r="J11" s="159"/>
      <c r="K11" s="159" t="s">
        <v>356</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357</v>
      </c>
      <c r="D3" s="168"/>
      <c r="E3" s="168"/>
      <c r="F3" s="168"/>
      <c r="G3" s="168"/>
      <c r="H3" s="168"/>
      <c r="I3" s="168"/>
      <c r="J3" s="168"/>
      <c r="K3" s="168"/>
      <c r="L3" s="168"/>
      <c r="M3" s="168"/>
      <c r="N3" s="168"/>
      <c r="P3" s="4">
        <v>6</v>
      </c>
      <c r="Q3" s="4">
        <v>10</v>
      </c>
      <c r="R3" s="2"/>
      <c r="S3" s="2"/>
    </row>
    <row r="4" spans="1:24" ht="13.5" customHeight="1">
      <c r="A4" s="161" t="s">
        <v>25</v>
      </c>
      <c r="B4" s="161"/>
      <c r="C4" s="162" t="s">
        <v>358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0.58333333333333337</v>
      </c>
      <c r="L10" s="158"/>
      <c r="M10" s="158">
        <f>$M$11/$D$11</f>
        <v>0.41666666666666669</v>
      </c>
      <c r="N10" s="158"/>
      <c r="P10" s="14">
        <v>0</v>
      </c>
      <c r="Q10" s="14">
        <v>1</v>
      </c>
      <c r="R10" s="2"/>
      <c r="S10" s="2"/>
      <c r="T10" s="10"/>
    </row>
    <row r="11" spans="1:24" ht="13.5" customHeight="1">
      <c r="A11" s="150"/>
      <c r="B11" s="150"/>
      <c r="C11" s="133" t="s">
        <v>42</v>
      </c>
      <c r="D11" s="132">
        <v>36</v>
      </c>
      <c r="E11" s="159" t="s">
        <v>359</v>
      </c>
      <c r="F11" s="159"/>
      <c r="G11" s="159" t="s">
        <v>354</v>
      </c>
      <c r="H11" s="159"/>
      <c r="I11" s="159" t="s">
        <v>354</v>
      </c>
      <c r="J11" s="159"/>
      <c r="K11" s="159" t="s">
        <v>360</v>
      </c>
      <c r="L11" s="159"/>
      <c r="M11" s="159" t="s">
        <v>361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2</v>
      </c>
      <c r="G26" s="114">
        <v>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362</v>
      </c>
      <c r="D3" s="168"/>
      <c r="E3" s="168"/>
      <c r="F3" s="168"/>
      <c r="G3" s="168"/>
      <c r="H3" s="168"/>
      <c r="I3" s="168"/>
      <c r="J3" s="168"/>
      <c r="K3" s="168"/>
      <c r="L3" s="168"/>
      <c r="M3" s="168"/>
      <c r="N3" s="168"/>
      <c r="P3" s="4">
        <v>6</v>
      </c>
      <c r="Q3" s="4">
        <v>10</v>
      </c>
      <c r="R3" s="2"/>
      <c r="S3" s="2"/>
    </row>
    <row r="4" spans="1:24" ht="13.5" customHeight="1">
      <c r="A4" s="161" t="s">
        <v>25</v>
      </c>
      <c r="B4" s="161"/>
      <c r="C4" s="162" t="s">
        <v>363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1.1666666666666667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365</v>
      </c>
      <c r="D3" s="168"/>
      <c r="E3" s="168"/>
      <c r="F3" s="168"/>
      <c r="G3" s="168"/>
      <c r="H3" s="168"/>
      <c r="I3" s="168"/>
      <c r="J3" s="168"/>
      <c r="K3" s="168"/>
      <c r="L3" s="168"/>
      <c r="M3" s="168"/>
      <c r="N3" s="168"/>
      <c r="P3" s="4">
        <v>6</v>
      </c>
      <c r="Q3" s="4">
        <v>10</v>
      </c>
      <c r="R3" s="2"/>
      <c r="S3" s="2"/>
    </row>
    <row r="4" spans="1:24" ht="13.5" customHeight="1">
      <c r="A4" s="161" t="s">
        <v>25</v>
      </c>
      <c r="B4" s="161"/>
      <c r="C4" s="162" t="s">
        <v>366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0.47222222222222221</v>
      </c>
      <c r="H10" s="158"/>
      <c r="I10" s="158">
        <f>$I$11/$D$11</f>
        <v>0</v>
      </c>
      <c r="J10" s="158"/>
      <c r="K10" s="158">
        <f>$K$11/$D$11</f>
        <v>0.69444444444444442</v>
      </c>
      <c r="L10" s="158"/>
      <c r="M10" s="158">
        <f>$M$11/$D$11</f>
        <v>0</v>
      </c>
      <c r="N10" s="158"/>
      <c r="P10" s="14">
        <v>0</v>
      </c>
      <c r="Q10" s="14">
        <v>1</v>
      </c>
      <c r="R10" s="2"/>
      <c r="S10" s="2"/>
      <c r="T10" s="10"/>
    </row>
    <row r="11" spans="1:24" ht="13.5" customHeight="1">
      <c r="A11" s="150"/>
      <c r="B11" s="150"/>
      <c r="C11" s="133" t="s">
        <v>42</v>
      </c>
      <c r="D11" s="132">
        <v>36</v>
      </c>
      <c r="E11" s="159" t="s">
        <v>354</v>
      </c>
      <c r="F11" s="159"/>
      <c r="G11" s="159" t="s">
        <v>367</v>
      </c>
      <c r="H11" s="159"/>
      <c r="I11" s="159" t="s">
        <v>354</v>
      </c>
      <c r="J11" s="159"/>
      <c r="K11" s="159" t="s">
        <v>368</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369</v>
      </c>
      <c r="D3" s="168"/>
      <c r="E3" s="168"/>
      <c r="F3" s="168"/>
      <c r="G3" s="168"/>
      <c r="H3" s="168"/>
      <c r="I3" s="168"/>
      <c r="J3" s="168"/>
      <c r="K3" s="168"/>
      <c r="L3" s="168"/>
      <c r="M3" s="168"/>
      <c r="N3" s="168"/>
      <c r="P3" s="4">
        <v>6</v>
      </c>
      <c r="Q3" s="4">
        <v>10</v>
      </c>
      <c r="R3" s="2"/>
      <c r="S3" s="2"/>
    </row>
    <row r="4" spans="1:24" ht="13.5" customHeight="1">
      <c r="A4" s="161" t="s">
        <v>25</v>
      </c>
      <c r="B4" s="161"/>
      <c r="C4" s="162" t="s">
        <v>370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364</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371</v>
      </c>
      <c r="D3" s="168"/>
      <c r="E3" s="168"/>
      <c r="F3" s="168"/>
      <c r="G3" s="168"/>
      <c r="H3" s="168"/>
      <c r="I3" s="168"/>
      <c r="J3" s="168"/>
      <c r="K3" s="168"/>
      <c r="L3" s="168"/>
      <c r="M3" s="168"/>
      <c r="N3" s="168"/>
      <c r="P3" s="4">
        <v>6</v>
      </c>
      <c r="Q3" s="4">
        <v>10</v>
      </c>
      <c r="R3" s="2"/>
      <c r="S3" s="2"/>
    </row>
    <row r="4" spans="1:24" ht="13.5" customHeight="1">
      <c r="A4" s="161" t="s">
        <v>25</v>
      </c>
      <c r="B4" s="161"/>
      <c r="C4" s="162" t="s">
        <v>372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0.22222222222222221</v>
      </c>
      <c r="F10" s="158"/>
      <c r="G10" s="158">
        <f>$G$11/$D$11</f>
        <v>0</v>
      </c>
      <c r="H10" s="158"/>
      <c r="I10" s="158">
        <f>$I$11/$D$11</f>
        <v>0</v>
      </c>
      <c r="J10" s="158"/>
      <c r="K10" s="158">
        <f>$K$11/$D$11</f>
        <v>0.16666666666666666</v>
      </c>
      <c r="L10" s="158"/>
      <c r="M10" s="158">
        <f>$M$11/$D$11</f>
        <v>0</v>
      </c>
      <c r="N10" s="158"/>
      <c r="P10" s="14">
        <v>0</v>
      </c>
      <c r="Q10" s="14">
        <v>1</v>
      </c>
      <c r="R10" s="2"/>
      <c r="S10" s="2"/>
      <c r="T10" s="10"/>
    </row>
    <row r="11" spans="1:24" ht="13.5" customHeight="1">
      <c r="A11" s="150"/>
      <c r="B11" s="150"/>
      <c r="C11" s="133" t="s">
        <v>42</v>
      </c>
      <c r="D11" s="132">
        <v>36</v>
      </c>
      <c r="E11" s="159" t="s">
        <v>373</v>
      </c>
      <c r="F11" s="159"/>
      <c r="G11" s="159" t="s">
        <v>354</v>
      </c>
      <c r="H11" s="159"/>
      <c r="I11" s="159" t="s">
        <v>354</v>
      </c>
      <c r="J11" s="159"/>
      <c r="K11" s="159" t="s">
        <v>374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1.25</v>
      </c>
      <c r="E26" s="152"/>
      <c r="F26" s="114">
        <v>1</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375</v>
      </c>
      <c r="D3" s="168"/>
      <c r="E3" s="168"/>
      <c r="F3" s="168"/>
      <c r="G3" s="168"/>
      <c r="H3" s="168"/>
      <c r="I3" s="168"/>
      <c r="J3" s="168"/>
      <c r="K3" s="168"/>
      <c r="L3" s="168"/>
      <c r="M3" s="168"/>
      <c r="N3" s="168"/>
      <c r="P3" s="4">
        <v>6</v>
      </c>
      <c r="Q3" s="4">
        <v>10</v>
      </c>
      <c r="R3" s="2"/>
      <c r="S3" s="2"/>
    </row>
    <row r="4" spans="1:24" ht="13.5" customHeight="1">
      <c r="A4" s="161" t="s">
        <v>25</v>
      </c>
      <c r="B4" s="161"/>
      <c r="C4" s="162" t="s">
        <v>376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0.41666666666666669</v>
      </c>
      <c r="H10" s="158"/>
      <c r="I10" s="158">
        <f>$I$11/$D$11</f>
        <v>0.33333333333333331</v>
      </c>
      <c r="J10" s="158"/>
      <c r="K10" s="158">
        <f>$K$11/$D$11</f>
        <v>0.41666666666666669</v>
      </c>
      <c r="L10" s="158"/>
      <c r="M10" s="158">
        <f>$M$11/$D$11</f>
        <v>0</v>
      </c>
      <c r="N10" s="158"/>
      <c r="P10" s="14">
        <v>0</v>
      </c>
      <c r="Q10" s="14">
        <v>1</v>
      </c>
      <c r="R10" s="2"/>
      <c r="S10" s="2"/>
      <c r="T10" s="10"/>
    </row>
    <row r="11" spans="1:24" ht="13.5" customHeight="1">
      <c r="A11" s="150"/>
      <c r="B11" s="150"/>
      <c r="C11" s="133" t="s">
        <v>42</v>
      </c>
      <c r="D11" s="132">
        <v>36</v>
      </c>
      <c r="E11" s="159" t="s">
        <v>354</v>
      </c>
      <c r="F11" s="159"/>
      <c r="G11" s="159" t="s">
        <v>361</v>
      </c>
      <c r="H11" s="159"/>
      <c r="I11" s="159" t="s">
        <v>359</v>
      </c>
      <c r="J11" s="159"/>
      <c r="K11" s="159" t="s">
        <v>361</v>
      </c>
      <c r="L11" s="159"/>
      <c r="M11" s="159">
        <v>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377</v>
      </c>
      <c r="E26" s="152"/>
      <c r="F26" s="114" t="s">
        <v>377</v>
      </c>
      <c r="G26" s="114" t="s">
        <v>377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378</v>
      </c>
      <c r="D3" s="168"/>
      <c r="E3" s="168"/>
      <c r="F3" s="168"/>
      <c r="G3" s="168"/>
      <c r="H3" s="168"/>
      <c r="I3" s="168"/>
      <c r="J3" s="168"/>
      <c r="K3" s="168"/>
      <c r="L3" s="168"/>
      <c r="M3" s="168"/>
      <c r="N3" s="168"/>
      <c r="P3" s="4">
        <v>6</v>
      </c>
      <c r="Q3" s="4">
        <v>10</v>
      </c>
      <c r="R3" s="2"/>
      <c r="S3" s="2"/>
    </row>
    <row r="4" spans="1:24" ht="13.5" customHeight="1">
      <c r="A4" s="161" t="s">
        <v>25</v>
      </c>
      <c r="B4" s="161"/>
      <c r="C4" s="162" t="s">
        <v>379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1.75</v>
      </c>
      <c r="F10" s="158"/>
      <c r="G10" s="158">
        <f>$G$11/$D$11</f>
        <v>0.58333333333333337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380</v>
      </c>
      <c r="F11" s="159"/>
      <c r="G11" s="159" t="s">
        <v>360</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7</v>
      </c>
      <c r="E26" s="152"/>
      <c r="F26" s="114">
        <v>6</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381</v>
      </c>
      <c r="D3" s="168"/>
      <c r="E3" s="168"/>
      <c r="F3" s="168"/>
      <c r="G3" s="168"/>
      <c r="H3" s="168"/>
      <c r="I3" s="168"/>
      <c r="J3" s="168"/>
      <c r="K3" s="168"/>
      <c r="L3" s="168"/>
      <c r="M3" s="168"/>
      <c r="N3" s="168"/>
      <c r="P3" s="4">
        <v>6</v>
      </c>
      <c r="Q3" s="4">
        <v>10</v>
      </c>
      <c r="R3" s="2"/>
      <c r="S3" s="2"/>
    </row>
    <row r="4" spans="1:24" ht="13.5" customHeight="1">
      <c r="A4" s="161" t="s">
        <v>25</v>
      </c>
      <c r="B4" s="161"/>
      <c r="C4" s="162" t="s">
        <v>382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0.30555555555555558</v>
      </c>
      <c r="F10" s="158"/>
      <c r="G10" s="158">
        <f>$G$11/$D$11</f>
        <v>0.55555555555555558</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355</v>
      </c>
      <c r="F11" s="159"/>
      <c r="G11" s="159" t="s">
        <v>383</v>
      </c>
      <c r="H11" s="159"/>
      <c r="I11" s="159" t="s">
        <v>354</v>
      </c>
      <c r="J11" s="159"/>
      <c r="K11" s="159" t="s">
        <v>355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384</v>
      </c>
      <c r="D3" s="168"/>
      <c r="E3" s="168"/>
      <c r="F3" s="168"/>
      <c r="G3" s="168"/>
      <c r="H3" s="168"/>
      <c r="I3" s="168"/>
      <c r="J3" s="168"/>
      <c r="K3" s="168"/>
      <c r="L3" s="168"/>
      <c r="M3" s="168"/>
      <c r="N3" s="168"/>
      <c r="P3" s="4">
        <v>6</v>
      </c>
      <c r="Q3" s="4">
        <v>10</v>
      </c>
      <c r="R3" s="2"/>
      <c r="S3" s="2"/>
    </row>
    <row r="4" spans="1:24" ht="13.5" customHeight="1">
      <c r="A4" s="161" t="s">
        <v>25</v>
      </c>
      <c r="B4" s="161"/>
      <c r="C4" s="162" t="s">
        <v>385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0.75</v>
      </c>
      <c r="L10" s="158"/>
      <c r="M10" s="158">
        <f>$M$11/$D$11</f>
        <v>0.75</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386</v>
      </c>
      <c r="L11" s="159"/>
      <c r="M11" s="159" t="s">
        <v>386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5</v>
      </c>
      <c r="E26" s="152"/>
      <c r="F26" s="114">
        <v>3</v>
      </c>
      <c r="G26" s="114">
        <v>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387</v>
      </c>
      <c r="D3" s="168"/>
      <c r="E3" s="168"/>
      <c r="F3" s="168"/>
      <c r="G3" s="168"/>
      <c r="H3" s="168"/>
      <c r="I3" s="168"/>
      <c r="J3" s="168"/>
      <c r="K3" s="168"/>
      <c r="L3" s="168"/>
      <c r="M3" s="168"/>
      <c r="N3" s="168"/>
      <c r="P3" s="4">
        <v>6</v>
      </c>
      <c r="Q3" s="4">
        <v>10</v>
      </c>
      <c r="R3" s="2"/>
      <c r="S3" s="2"/>
    </row>
    <row r="4" spans="1:24" ht="13.5" customHeight="1">
      <c r="A4" s="161" t="s">
        <v>25</v>
      </c>
      <c r="B4" s="161"/>
      <c r="C4" s="162" t="s">
        <v>388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v>
      </c>
      <c r="H10" s="158"/>
      <c r="I10" s="158">
        <f>$I$11/$D$11</f>
        <v>0</v>
      </c>
      <c r="J10" s="158"/>
      <c r="K10" s="158">
        <f>$K$11/$D$11</f>
        <v>0.58333333333333337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389</v>
      </c>
      <c r="H11" s="159"/>
      <c r="I11" s="159" t="s">
        <v>354</v>
      </c>
      <c r="J11" s="159"/>
      <c r="K11" s="159" t="s">
        <v>360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3.25</v>
      </c>
      <c r="E26" s="152"/>
      <c r="F26" s="114">
        <v>3</v>
      </c>
      <c r="G26" s="114">
        <v>0.25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390</v>
      </c>
      <c r="D3" s="168"/>
      <c r="E3" s="168"/>
      <c r="F3" s="168"/>
      <c r="G3" s="168"/>
      <c r="H3" s="168"/>
      <c r="I3" s="168"/>
      <c r="J3" s="168"/>
      <c r="K3" s="168"/>
      <c r="L3" s="168"/>
      <c r="M3" s="168"/>
      <c r="N3" s="168"/>
      <c r="P3" s="4">
        <v>6</v>
      </c>
      <c r="Q3" s="4">
        <v>10</v>
      </c>
      <c r="R3" s="2"/>
      <c r="S3" s="2"/>
    </row>
    <row r="4" spans="1:24" ht="13.5" customHeight="1">
      <c r="A4" s="161" t="s">
        <v>25</v>
      </c>
      <c r="B4" s="161"/>
      <c r="C4" s="162" t="s">
        <v>391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0.30555555555555558</v>
      </c>
      <c r="F10" s="158"/>
      <c r="G10" s="158">
        <f>$G$11/$D$11</f>
        <v>0.86111111111111116</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355</v>
      </c>
      <c r="F11" s="159"/>
      <c r="G11" s="159" t="s">
        <v>356</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392</v>
      </c>
      <c r="D3" s="168"/>
      <c r="E3" s="168"/>
      <c r="F3" s="168"/>
      <c r="G3" s="168"/>
      <c r="H3" s="168"/>
      <c r="I3" s="168"/>
      <c r="J3" s="168"/>
      <c r="K3" s="168"/>
      <c r="L3" s="168"/>
      <c r="M3" s="168"/>
      <c r="N3" s="168"/>
      <c r="P3" s="4">
        <v>6</v>
      </c>
      <c r="Q3" s="4">
        <v>10</v>
      </c>
      <c r="R3" s="2"/>
      <c r="S3" s="2"/>
    </row>
    <row r="4" spans="1:24" ht="13.5" customHeight="1">
      <c r="A4" s="161" t="s">
        <v>25</v>
      </c>
      <c r="B4" s="161"/>
      <c r="C4" s="162" t="s">
        <v>393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0.30555555555555558</v>
      </c>
      <c r="F10" s="158"/>
      <c r="G10" s="158">
        <f>$G$11/$D$11</f>
        <v>0.55555555555555558</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355</v>
      </c>
      <c r="F11" s="159"/>
      <c r="G11" s="159" t="s">
        <v>383</v>
      </c>
      <c r="H11" s="159"/>
      <c r="I11" s="159" t="s">
        <v>354</v>
      </c>
      <c r="J11" s="159"/>
      <c r="K11" s="159" t="s">
        <v>355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394</v>
      </c>
      <c r="D3" s="168"/>
      <c r="E3" s="168"/>
      <c r="F3" s="168"/>
      <c r="G3" s="168"/>
      <c r="H3" s="168"/>
      <c r="I3" s="168"/>
      <c r="J3" s="168"/>
      <c r="K3" s="168"/>
      <c r="L3" s="168"/>
      <c r="M3" s="168"/>
      <c r="N3" s="168"/>
      <c r="P3" s="4">
        <v>6</v>
      </c>
      <c r="Q3" s="4">
        <v>10</v>
      </c>
      <c r="R3" s="2"/>
      <c r="S3" s="2"/>
    </row>
    <row r="4" spans="1:24" ht="13.5" customHeight="1">
      <c r="A4" s="161" t="s">
        <v>25</v>
      </c>
      <c r="B4" s="161"/>
      <c r="C4" s="162" t="s">
        <v>395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0.22222222222222221</v>
      </c>
      <c r="H10" s="158"/>
      <c r="I10" s="158">
        <f>$I$11/$D$11</f>
        <v>0.22222222222222221</v>
      </c>
      <c r="J10" s="158"/>
      <c r="K10" s="158">
        <f>$K$11/$D$11</f>
        <v>0.3888888888888889</v>
      </c>
      <c r="L10" s="158"/>
      <c r="M10" s="158">
        <f>$M$11/$D$11</f>
        <v>0</v>
      </c>
      <c r="N10" s="158"/>
      <c r="P10" s="14">
        <v>0</v>
      </c>
      <c r="Q10" s="14">
        <v>1</v>
      </c>
      <c r="R10" s="2"/>
      <c r="S10" s="2"/>
      <c r="T10" s="10"/>
    </row>
    <row r="11" spans="1:24" ht="13.5" customHeight="1">
      <c r="A11" s="150"/>
      <c r="B11" s="150"/>
      <c r="C11" s="133" t="s">
        <v>42</v>
      </c>
      <c r="D11" s="132">
        <v>36</v>
      </c>
      <c r="E11" s="159" t="s">
        <v>354</v>
      </c>
      <c r="F11" s="159"/>
      <c r="G11" s="159" t="s">
        <v>373</v>
      </c>
      <c r="H11" s="159"/>
      <c r="I11" s="159" t="s">
        <v>373</v>
      </c>
      <c r="J11" s="159"/>
      <c r="K11" s="159" t="s">
        <v>396</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2.5</v>
      </c>
      <c r="E26" s="152"/>
      <c r="F26" s="114">
        <v>1</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397</v>
      </c>
      <c r="D3" s="168"/>
      <c r="E3" s="168"/>
      <c r="F3" s="168"/>
      <c r="G3" s="168"/>
      <c r="H3" s="168"/>
      <c r="I3" s="168"/>
      <c r="J3" s="168"/>
      <c r="K3" s="168"/>
      <c r="L3" s="168"/>
      <c r="M3" s="168"/>
      <c r="N3" s="168"/>
      <c r="P3" s="4">
        <v>6</v>
      </c>
      <c r="Q3" s="4">
        <v>10</v>
      </c>
      <c r="R3" s="2"/>
      <c r="S3" s="2"/>
    </row>
    <row r="4" spans="1:24" ht="13.5" customHeight="1">
      <c r="A4" s="161" t="s">
        <v>25</v>
      </c>
      <c r="B4" s="161"/>
      <c r="C4" s="162" t="s">
        <v>398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0.30555555555555558</v>
      </c>
      <c r="L10" s="158"/>
      <c r="M10" s="158">
        <f>$M$11/$D$11</f>
        <v>0.86111111111111116</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355</v>
      </c>
      <c r="L11" s="159"/>
      <c r="M11" s="159" t="s">
        <v>356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1</v>
      </c>
      <c r="G26" s="114">
        <v>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399</v>
      </c>
      <c r="D3" s="168"/>
      <c r="E3" s="168"/>
      <c r="F3" s="168"/>
      <c r="G3" s="168"/>
      <c r="H3" s="168"/>
      <c r="I3" s="168"/>
      <c r="J3" s="168"/>
      <c r="K3" s="168"/>
      <c r="L3" s="168"/>
      <c r="M3" s="168"/>
      <c r="N3" s="168"/>
      <c r="P3" s="4">
        <v>6</v>
      </c>
      <c r="Q3" s="4">
        <v>10</v>
      </c>
      <c r="R3" s="2"/>
      <c r="S3" s="2"/>
    </row>
    <row r="4" spans="1:24" ht="13.5" customHeight="1">
      <c r="A4" s="161" t="s">
        <v>25</v>
      </c>
      <c r="B4" s="161"/>
      <c r="C4" s="162" t="s">
        <v>400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0.86111111111111116</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354</v>
      </c>
      <c r="F11" s="159"/>
      <c r="G11" s="159" t="s">
        <v>356</v>
      </c>
      <c r="H11" s="159"/>
      <c r="I11" s="159" t="s">
        <v>354</v>
      </c>
      <c r="J11" s="159"/>
      <c r="K11" s="159" t="s">
        <v>355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401</v>
      </c>
      <c r="D3" s="168"/>
      <c r="E3" s="168"/>
      <c r="F3" s="168"/>
      <c r="G3" s="168"/>
      <c r="H3" s="168"/>
      <c r="I3" s="168"/>
      <c r="J3" s="168"/>
      <c r="K3" s="168"/>
      <c r="L3" s="168"/>
      <c r="M3" s="168"/>
      <c r="N3" s="168"/>
      <c r="P3" s="4">
        <v>6</v>
      </c>
      <c r="Q3" s="4">
        <v>10</v>
      </c>
      <c r="R3" s="2"/>
      <c r="S3" s="2"/>
    </row>
    <row r="4" spans="1:24" ht="13.5" customHeight="1">
      <c r="A4" s="161" t="s">
        <v>25</v>
      </c>
      <c r="B4" s="161"/>
      <c r="C4" s="162" t="s">
        <v>402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0.66666666666666663</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359</v>
      </c>
      <c r="F11" s="159"/>
      <c r="G11" s="159" t="s">
        <v>403</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404</v>
      </c>
      <c r="D3" s="168"/>
      <c r="E3" s="168"/>
      <c r="F3" s="168"/>
      <c r="G3" s="168"/>
      <c r="H3" s="168"/>
      <c r="I3" s="168"/>
      <c r="J3" s="168"/>
      <c r="K3" s="168"/>
      <c r="L3" s="168"/>
      <c r="M3" s="168"/>
      <c r="N3" s="168"/>
      <c r="P3" s="4">
        <v>6</v>
      </c>
      <c r="Q3" s="4">
        <v>10</v>
      </c>
      <c r="R3" s="2"/>
      <c r="S3" s="2"/>
    </row>
    <row r="4" spans="1:24" ht="13.5" customHeight="1">
      <c r="A4" s="161" t="s">
        <v>25</v>
      </c>
      <c r="B4" s="161"/>
      <c r="C4" s="162" t="s">
        <v>405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0.58333333333333337</v>
      </c>
      <c r="H10" s="158"/>
      <c r="I10" s="158">
        <f>$I$11/$D$11</f>
        <v>0</v>
      </c>
      <c r="J10" s="158"/>
      <c r="K10" s="158">
        <f>$K$11/$D$11</f>
        <v>0.58333333333333337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360</v>
      </c>
      <c r="H11" s="159"/>
      <c r="I11" s="159" t="s">
        <v>354</v>
      </c>
      <c r="J11" s="159"/>
      <c r="K11" s="159" t="s">
        <v>360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406</v>
      </c>
      <c r="D3" s="168"/>
      <c r="E3" s="168"/>
      <c r="F3" s="168"/>
      <c r="G3" s="168"/>
      <c r="H3" s="168"/>
      <c r="I3" s="168"/>
      <c r="J3" s="168"/>
      <c r="K3" s="168"/>
      <c r="L3" s="168"/>
      <c r="M3" s="168"/>
      <c r="N3" s="168"/>
      <c r="P3" s="4">
        <v>6</v>
      </c>
      <c r="Q3" s="4">
        <v>10</v>
      </c>
      <c r="R3" s="2"/>
      <c r="S3" s="2"/>
    </row>
    <row r="4" spans="1:24" ht="13.5" customHeight="1">
      <c r="A4" s="161" t="s">
        <v>25</v>
      </c>
      <c r="B4" s="161"/>
      <c r="C4" s="162" t="s">
        <v>407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408</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409</v>
      </c>
      <c r="D3" s="168"/>
      <c r="E3" s="168"/>
      <c r="F3" s="168"/>
      <c r="G3" s="168"/>
      <c r="H3" s="168"/>
      <c r="I3" s="168"/>
      <c r="J3" s="168"/>
      <c r="K3" s="168"/>
      <c r="L3" s="168"/>
      <c r="M3" s="168"/>
      <c r="N3" s="168"/>
      <c r="P3" s="4">
        <v>6</v>
      </c>
      <c r="Q3" s="4">
        <v>10</v>
      </c>
      <c r="R3" s="2"/>
      <c r="S3" s="2"/>
    </row>
    <row r="4" spans="1:24" ht="13.5" customHeight="1">
      <c r="A4" s="161" t="s">
        <v>25</v>
      </c>
      <c r="B4" s="161"/>
      <c r="C4" s="162" t="s">
        <v>410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0.30555555555555558</v>
      </c>
      <c r="H10" s="158"/>
      <c r="I10" s="158">
        <f>$I$11/$D$11</f>
        <v>0.30555555555555558</v>
      </c>
      <c r="J10" s="158"/>
      <c r="K10" s="158">
        <f>$K$11/$D$11</f>
        <v>0.55555555555555558</v>
      </c>
      <c r="L10" s="158"/>
      <c r="M10" s="158">
        <f>$M$11/$D$11</f>
        <v>0</v>
      </c>
      <c r="N10" s="158"/>
      <c r="P10" s="14">
        <v>0</v>
      </c>
      <c r="Q10" s="14">
        <v>1</v>
      </c>
      <c r="R10" s="2"/>
      <c r="S10" s="2"/>
      <c r="T10" s="10"/>
    </row>
    <row r="11" spans="1:24" ht="13.5" customHeight="1">
      <c r="A11" s="150"/>
      <c r="B11" s="150"/>
      <c r="C11" s="133" t="s">
        <v>42</v>
      </c>
      <c r="D11" s="132">
        <v>36</v>
      </c>
      <c r="E11" s="159" t="s">
        <v>354</v>
      </c>
      <c r="F11" s="159"/>
      <c r="G11" s="159" t="s">
        <v>355</v>
      </c>
      <c r="H11" s="159"/>
      <c r="I11" s="159" t="s">
        <v>355</v>
      </c>
      <c r="J11" s="159"/>
      <c r="K11" s="159" t="s">
        <v>383</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0</v>
      </c>
      <c r="G26" s="114">
        <v>3.5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411</v>
      </c>
      <c r="D3" s="168"/>
      <c r="E3" s="168"/>
      <c r="F3" s="168"/>
      <c r="G3" s="168"/>
      <c r="H3" s="168"/>
      <c r="I3" s="168"/>
      <c r="J3" s="168"/>
      <c r="K3" s="168"/>
      <c r="L3" s="168"/>
      <c r="M3" s="168"/>
      <c r="N3" s="168"/>
      <c r="P3" s="4">
        <v>6</v>
      </c>
      <c r="Q3" s="4">
        <v>10</v>
      </c>
      <c r="R3" s="2"/>
      <c r="S3" s="2"/>
    </row>
    <row r="4" spans="1:24" ht="13.5" customHeight="1">
      <c r="A4" s="161" t="s">
        <v>25</v>
      </c>
      <c r="B4" s="161"/>
      <c r="C4" s="162" t="s">
        <v>412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0.3888888888888889</v>
      </c>
      <c r="J10" s="158"/>
      <c r="K10" s="158">
        <f>$K$11/$D$11</f>
        <v>0</v>
      </c>
      <c r="L10" s="158"/>
      <c r="M10" s="158">
        <f>$M$11/$D$11</f>
        <v>1.1111111111111112</v>
      </c>
      <c r="N10" s="158"/>
      <c r="P10" s="14">
        <v>0</v>
      </c>
      <c r="Q10" s="14">
        <v>1</v>
      </c>
      <c r="R10" s="2"/>
      <c r="S10" s="2"/>
      <c r="T10" s="10"/>
    </row>
    <row r="11" spans="1:24" ht="13.5" customHeight="1">
      <c r="A11" s="150"/>
      <c r="B11" s="150"/>
      <c r="C11" s="133" t="s">
        <v>42</v>
      </c>
      <c r="D11" s="132">
        <v>36</v>
      </c>
      <c r="E11" s="159" t="s">
        <v>354</v>
      </c>
      <c r="F11" s="159"/>
      <c r="G11" s="159" t="s">
        <v>354</v>
      </c>
      <c r="H11" s="159"/>
      <c r="I11" s="159" t="s">
        <v>396</v>
      </c>
      <c r="J11" s="159"/>
      <c r="K11" s="159" t="s">
        <v>354</v>
      </c>
      <c r="L11" s="159"/>
      <c r="M11" s="159" t="s">
        <v>413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0</v>
      </c>
      <c r="G26" s="114">
        <v>4.5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414</v>
      </c>
      <c r="D3" s="168"/>
      <c r="E3" s="168"/>
      <c r="F3" s="168"/>
      <c r="G3" s="168"/>
      <c r="H3" s="168"/>
      <c r="I3" s="168"/>
      <c r="J3" s="168"/>
      <c r="K3" s="168"/>
      <c r="L3" s="168"/>
      <c r="M3" s="168"/>
      <c r="N3" s="168"/>
      <c r="P3" s="4">
        <v>6</v>
      </c>
      <c r="Q3" s="4">
        <v>10</v>
      </c>
      <c r="R3" s="2"/>
      <c r="S3" s="2"/>
    </row>
    <row r="4" spans="1:24" ht="13.5" customHeight="1">
      <c r="A4" s="161" t="s">
        <v>25</v>
      </c>
      <c r="B4" s="161"/>
      <c r="C4" s="162" t="s">
        <v>415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1</v>
      </c>
      <c r="N10" s="158"/>
      <c r="P10" s="14">
        <v>0</v>
      </c>
      <c r="Q10" s="14">
        <v>1</v>
      </c>
      <c r="R10" s="2"/>
      <c r="S10" s="2"/>
      <c r="T10" s="10"/>
    </row>
    <row r="11" spans="1:24" ht="13.5" customHeight="1">
      <c r="A11" s="150"/>
      <c r="B11" s="150"/>
      <c r="C11" s="133" t="s">
        <v>42</v>
      </c>
      <c r="D11" s="132">
        <v>36</v>
      </c>
      <c r="E11" s="159" t="s">
        <v>354</v>
      </c>
      <c r="F11" s="159"/>
      <c r="G11" s="159" t="s">
        <v>354</v>
      </c>
      <c r="H11" s="159"/>
      <c r="I11" s="159" t="s">
        <v>359</v>
      </c>
      <c r="J11" s="159"/>
      <c r="K11" s="159" t="s">
        <v>354</v>
      </c>
      <c r="L11" s="159"/>
      <c r="M11" s="159" t="s">
        <v>408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0</v>
      </c>
      <c r="G26" s="114">
        <v>4</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416</v>
      </c>
      <c r="D3" s="168"/>
      <c r="E3" s="168"/>
      <c r="F3" s="168"/>
      <c r="G3" s="168"/>
      <c r="H3" s="168"/>
      <c r="I3" s="168"/>
      <c r="J3" s="168"/>
      <c r="K3" s="168"/>
      <c r="L3" s="168"/>
      <c r="M3" s="168"/>
      <c r="N3" s="168"/>
      <c r="P3" s="4">
        <v>6</v>
      </c>
      <c r="Q3" s="4">
        <v>10</v>
      </c>
      <c r="R3" s="2"/>
      <c r="S3" s="2"/>
    </row>
    <row r="4" spans="1:24" ht="13.5" customHeight="1">
      <c r="A4" s="161" t="s">
        <v>25</v>
      </c>
      <c r="B4" s="161"/>
      <c r="C4" s="162" t="s">
        <v>417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0.3888888888888889</v>
      </c>
      <c r="L10" s="158"/>
      <c r="M10" s="158">
        <f>$M$11/$D$11</f>
        <v>0.27777777777777779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396</v>
      </c>
      <c r="L11" s="159"/>
      <c r="M11" s="159" t="s">
        <v>418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2</v>
      </c>
      <c r="E26" s="152"/>
      <c r="F26" s="114">
        <v>0</v>
      </c>
      <c r="G26" s="114">
        <v>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419</v>
      </c>
      <c r="D3" s="168"/>
      <c r="E3" s="168"/>
      <c r="F3" s="168"/>
      <c r="G3" s="168"/>
      <c r="H3" s="168"/>
      <c r="I3" s="168"/>
      <c r="J3" s="168"/>
      <c r="K3" s="168"/>
      <c r="L3" s="168"/>
      <c r="M3" s="168"/>
      <c r="N3" s="168"/>
      <c r="P3" s="4">
        <v>6</v>
      </c>
      <c r="Q3" s="4">
        <v>10</v>
      </c>
      <c r="R3" s="2"/>
      <c r="S3" s="2"/>
    </row>
    <row r="4" spans="1:24" ht="13.5" customHeight="1">
      <c r="A4" s="161" t="s">
        <v>25</v>
      </c>
      <c r="B4" s="161"/>
      <c r="C4" s="162" t="s">
        <v>420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0.77777777777777779</v>
      </c>
      <c r="J10" s="158"/>
      <c r="K10" s="158">
        <f>$K$11/$D$11</f>
        <v>1.3333333333333333</v>
      </c>
      <c r="L10" s="158"/>
      <c r="M10" s="158">
        <f>$M$11/$D$11</f>
        <v>0.88888888888888884</v>
      </c>
      <c r="N10" s="158"/>
      <c r="P10" s="14">
        <v>0</v>
      </c>
      <c r="Q10" s="14">
        <v>1</v>
      </c>
      <c r="R10" s="2"/>
      <c r="S10" s="2"/>
      <c r="T10" s="10"/>
    </row>
    <row r="11" spans="1:24" ht="13.5" customHeight="1">
      <c r="A11" s="150"/>
      <c r="B11" s="150"/>
      <c r="C11" s="133" t="s">
        <v>42</v>
      </c>
      <c r="D11" s="132">
        <v>36</v>
      </c>
      <c r="E11" s="159" t="s">
        <v>354</v>
      </c>
      <c r="F11" s="159"/>
      <c r="G11" s="159" t="s">
        <v>354</v>
      </c>
      <c r="H11" s="159"/>
      <c r="I11" s="159" t="s">
        <v>421</v>
      </c>
      <c r="J11" s="159"/>
      <c r="K11" s="159" t="s">
        <v>422</v>
      </c>
      <c r="L11" s="159"/>
      <c r="M11" s="159" t="s">
        <v>423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9</v>
      </c>
      <c r="E26" s="152"/>
      <c r="F26" s="114">
        <v>0</v>
      </c>
      <c r="G26" s="114">
        <v>9</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424</v>
      </c>
      <c r="D3" s="168"/>
      <c r="E3" s="168"/>
      <c r="F3" s="168"/>
      <c r="G3" s="168"/>
      <c r="H3" s="168"/>
      <c r="I3" s="168"/>
      <c r="J3" s="168"/>
      <c r="K3" s="168"/>
      <c r="L3" s="168"/>
      <c r="M3" s="168"/>
      <c r="N3" s="168"/>
      <c r="P3" s="4">
        <v>6</v>
      </c>
      <c r="Q3" s="4">
        <v>10</v>
      </c>
      <c r="R3" s="2"/>
      <c r="S3" s="2"/>
    </row>
    <row r="4" spans="1:24" ht="13.5" customHeight="1">
      <c r="A4" s="161" t="s">
        <v>25</v>
      </c>
      <c r="B4" s="161"/>
      <c r="C4" s="162" t="s">
        <v>425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0.58333333333333337</v>
      </c>
      <c r="H10" s="158"/>
      <c r="I10" s="158">
        <f>$I$11/$D$11</f>
        <v>0</v>
      </c>
      <c r="J10" s="158"/>
      <c r="K10" s="158">
        <f>$K$11/$D$11</f>
        <v>0.58333333333333337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360</v>
      </c>
      <c r="H11" s="159"/>
      <c r="I11" s="159" t="s">
        <v>354</v>
      </c>
      <c r="J11" s="159"/>
      <c r="K11" s="159" t="s">
        <v>360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426</v>
      </c>
      <c r="D3" s="168"/>
      <c r="E3" s="168"/>
      <c r="F3" s="168"/>
      <c r="G3" s="168"/>
      <c r="H3" s="168"/>
      <c r="I3" s="168"/>
      <c r="J3" s="168"/>
      <c r="K3" s="168"/>
      <c r="L3" s="168"/>
      <c r="M3" s="168"/>
      <c r="N3" s="168"/>
      <c r="P3" s="4">
        <v>6</v>
      </c>
      <c r="Q3" s="4">
        <v>10</v>
      </c>
      <c r="R3" s="2"/>
      <c r="S3" s="2"/>
    </row>
    <row r="4" spans="1:24" ht="13.5" customHeight="1">
      <c r="A4" s="161" t="s">
        <v>25</v>
      </c>
      <c r="B4" s="161"/>
      <c r="C4" s="162" t="s">
        <v>427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0.88888888888888884</v>
      </c>
      <c r="H10" s="158"/>
      <c r="I10" s="158">
        <f>$I$11/$D$11</f>
        <v>0</v>
      </c>
      <c r="J10" s="158"/>
      <c r="K10" s="158">
        <f>$K$11/$D$11</f>
        <v>0.27777777777777779</v>
      </c>
      <c r="L10" s="158"/>
      <c r="M10" s="158">
        <f>$M$11/$D$11</f>
        <v>0</v>
      </c>
      <c r="N10" s="158"/>
      <c r="P10" s="14">
        <v>0</v>
      </c>
      <c r="Q10" s="14">
        <v>1</v>
      </c>
      <c r="R10" s="2"/>
      <c r="S10" s="2"/>
      <c r="T10" s="10"/>
    </row>
    <row r="11" spans="1:24" ht="13.5" customHeight="1">
      <c r="A11" s="150"/>
      <c r="B11" s="150"/>
      <c r="C11" s="133" t="s">
        <v>42</v>
      </c>
      <c r="D11" s="132">
        <v>36</v>
      </c>
      <c r="E11" s="159" t="s">
        <v>354</v>
      </c>
      <c r="F11" s="159"/>
      <c r="G11" s="159" t="s">
        <v>423</v>
      </c>
      <c r="H11" s="159"/>
      <c r="I11" s="159" t="s">
        <v>354</v>
      </c>
      <c r="J11" s="159"/>
      <c r="K11" s="159" t="s">
        <v>418</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428</v>
      </c>
      <c r="D3" s="168"/>
      <c r="E3" s="168"/>
      <c r="F3" s="168"/>
      <c r="G3" s="168"/>
      <c r="H3" s="168"/>
      <c r="I3" s="168"/>
      <c r="J3" s="168"/>
      <c r="K3" s="168"/>
      <c r="L3" s="168"/>
      <c r="M3" s="168"/>
      <c r="N3" s="168"/>
      <c r="P3" s="4">
        <v>6</v>
      </c>
      <c r="Q3" s="4">
        <v>10</v>
      </c>
      <c r="R3" s="2"/>
      <c r="S3" s="2"/>
    </row>
    <row r="4" spans="1:24" ht="13.5" customHeight="1">
      <c r="A4" s="161" t="s">
        <v>25</v>
      </c>
      <c r="B4" s="161"/>
      <c r="C4" s="162" t="s">
        <v>429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0.86111111111111116</v>
      </c>
      <c r="H10" s="158"/>
      <c r="I10" s="158">
        <f>$I$11/$D$11</f>
        <v>0</v>
      </c>
      <c r="J10" s="158"/>
      <c r="K10" s="158">
        <f>$K$11/$D$11</f>
        <v>0.30555555555555558</v>
      </c>
      <c r="L10" s="158"/>
      <c r="M10" s="158">
        <f>$M$11/$D$11</f>
        <v>0</v>
      </c>
      <c r="N10" s="158"/>
      <c r="P10" s="14">
        <v>0</v>
      </c>
      <c r="Q10" s="14">
        <v>1</v>
      </c>
      <c r="R10" s="2"/>
      <c r="S10" s="2"/>
      <c r="T10" s="10"/>
    </row>
    <row r="11" spans="1:24" ht="13.5" customHeight="1">
      <c r="A11" s="150"/>
      <c r="B11" s="150"/>
      <c r="C11" s="133" t="s">
        <v>42</v>
      </c>
      <c r="D11" s="132">
        <v>36</v>
      </c>
      <c r="E11" s="159" t="s">
        <v>354</v>
      </c>
      <c r="F11" s="159"/>
      <c r="G11" s="159" t="s">
        <v>356</v>
      </c>
      <c r="H11" s="159"/>
      <c r="I11" s="159" t="s">
        <v>354</v>
      </c>
      <c r="J11" s="159"/>
      <c r="K11" s="159" t="s">
        <v>355</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430</v>
      </c>
      <c r="D3" s="168"/>
      <c r="E3" s="168"/>
      <c r="F3" s="168"/>
      <c r="G3" s="168"/>
      <c r="H3" s="168"/>
      <c r="I3" s="168"/>
      <c r="J3" s="168"/>
      <c r="K3" s="168"/>
      <c r="L3" s="168"/>
      <c r="M3" s="168"/>
      <c r="N3" s="168"/>
      <c r="P3" s="4">
        <v>6</v>
      </c>
      <c r="Q3" s="4">
        <v>10</v>
      </c>
      <c r="R3" s="2"/>
      <c r="S3" s="2"/>
    </row>
    <row r="4" spans="1:24" ht="13.5" customHeight="1">
      <c r="A4" s="161" t="s">
        <v>25</v>
      </c>
      <c r="B4" s="161"/>
      <c r="C4" s="162" t="s">
        <v>431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359</v>
      </c>
      <c r="H11" s="159"/>
      <c r="I11" s="159" t="s">
        <v>354</v>
      </c>
      <c r="J11" s="159"/>
      <c r="K11" s="159" t="s">
        <v>432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433</v>
      </c>
      <c r="D3" s="168"/>
      <c r="E3" s="168"/>
      <c r="F3" s="168"/>
      <c r="G3" s="168"/>
      <c r="H3" s="168"/>
      <c r="I3" s="168"/>
      <c r="J3" s="168"/>
      <c r="K3" s="168"/>
      <c r="L3" s="168"/>
      <c r="M3" s="168"/>
      <c r="N3" s="168"/>
      <c r="P3" s="4">
        <v>6</v>
      </c>
      <c r="Q3" s="4">
        <v>10</v>
      </c>
      <c r="R3" s="2"/>
      <c r="S3" s="2"/>
    </row>
    <row r="4" spans="1:24" ht="13.5" customHeight="1">
      <c r="A4" s="161" t="s">
        <v>25</v>
      </c>
      <c r="B4" s="161"/>
      <c r="C4" s="162" t="s">
        <v>434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0.83333333333333337</v>
      </c>
      <c r="L10" s="158"/>
      <c r="M10" s="158">
        <f>$M$11/$D$11</f>
        <v>0</v>
      </c>
      <c r="N10" s="158"/>
      <c r="P10" s="14">
        <v>0</v>
      </c>
      <c r="Q10" s="14">
        <v>1</v>
      </c>
      <c r="R10" s="2"/>
      <c r="S10" s="2"/>
      <c r="T10" s="10"/>
    </row>
    <row r="11" spans="1:24" ht="13.5" customHeight="1">
      <c r="A11" s="150"/>
      <c r="B11" s="150"/>
      <c r="C11" s="133" t="s">
        <v>42</v>
      </c>
      <c r="D11" s="132">
        <v>36</v>
      </c>
      <c r="E11" s="159" t="s">
        <v>354</v>
      </c>
      <c r="F11" s="159"/>
      <c r="G11" s="159" t="s">
        <v>359</v>
      </c>
      <c r="H11" s="159"/>
      <c r="I11" s="159" t="s">
        <v>354</v>
      </c>
      <c r="J11" s="159"/>
      <c r="K11" s="159" t="s">
        <v>432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435</v>
      </c>
      <c r="D3" s="168"/>
      <c r="E3" s="168"/>
      <c r="F3" s="168"/>
      <c r="G3" s="168"/>
      <c r="H3" s="168"/>
      <c r="I3" s="168"/>
      <c r="J3" s="168"/>
      <c r="K3" s="168"/>
      <c r="L3" s="168"/>
      <c r="M3" s="168"/>
      <c r="N3" s="168"/>
      <c r="P3" s="4">
        <v>6</v>
      </c>
      <c r="Q3" s="4">
        <v>10</v>
      </c>
      <c r="R3" s="2"/>
      <c r="S3" s="2"/>
    </row>
    <row r="4" spans="1:24" ht="13.5" customHeight="1">
      <c r="A4" s="161" t="s">
        <v>25</v>
      </c>
      <c r="B4" s="161"/>
      <c r="C4" s="162" t="s">
        <v>436</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1.1666666666666667</v>
      </c>
      <c r="H10" s="158"/>
      <c r="I10" s="158">
        <f>$I$11/$D$11</f>
        <v>0</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364</v>
      </c>
      <c r="H11" s="159"/>
      <c r="I11" s="159" t="s">
        <v>354</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377</v>
      </c>
      <c r="E26" s="152"/>
      <c r="F26" s="114">
        <v>3</v>
      </c>
      <c r="G26" s="114" t="s">
        <v>377</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437</v>
      </c>
      <c r="D3" s="168"/>
      <c r="E3" s="168"/>
      <c r="F3" s="168"/>
      <c r="G3" s="168"/>
      <c r="H3" s="168"/>
      <c r="I3" s="168"/>
      <c r="J3" s="168"/>
      <c r="K3" s="168"/>
      <c r="L3" s="168"/>
      <c r="M3" s="168"/>
      <c r="N3" s="168"/>
      <c r="P3" s="4">
        <v>6</v>
      </c>
      <c r="Q3" s="4">
        <v>10</v>
      </c>
      <c r="R3" s="2"/>
      <c r="S3" s="2"/>
    </row>
    <row r="4" spans="1:24" ht="13.5" customHeight="1">
      <c r="A4" s="161" t="s">
        <v>25</v>
      </c>
      <c r="B4" s="161"/>
      <c r="C4" s="162" t="s">
        <v>438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432</v>
      </c>
      <c r="L11" s="159"/>
      <c r="M11" s="159" t="s">
        <v>359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3.5</v>
      </c>
      <c r="E26" s="152"/>
      <c r="F26" s="114">
        <v>3</v>
      </c>
      <c r="G26" s="114">
        <v>0.5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439</v>
      </c>
      <c r="D3" s="168"/>
      <c r="E3" s="168"/>
      <c r="F3" s="168"/>
      <c r="G3" s="168"/>
      <c r="H3" s="168"/>
      <c r="I3" s="168"/>
      <c r="J3" s="168"/>
      <c r="K3" s="168"/>
      <c r="L3" s="168"/>
      <c r="M3" s="168"/>
      <c r="N3" s="168"/>
      <c r="P3" s="4">
        <v>6</v>
      </c>
      <c r="Q3" s="4">
        <v>10</v>
      </c>
      <c r="R3" s="2"/>
      <c r="S3" s="2"/>
    </row>
    <row r="4" spans="1:24" ht="13.5" customHeight="1">
      <c r="A4" s="161" t="s">
        <v>25</v>
      </c>
      <c r="B4" s="161"/>
      <c r="C4" s="162" t="s">
        <v>440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0.25</v>
      </c>
      <c r="H10" s="158"/>
      <c r="I10" s="158">
        <f>$I$11/$D$11</f>
        <v>0</v>
      </c>
      <c r="J10" s="158"/>
      <c r="K10" s="158">
        <f>$K$11/$D$11</f>
        <v>0.75</v>
      </c>
      <c r="L10" s="158"/>
      <c r="M10" s="158">
        <f>$M$11/$D$11</f>
        <v>0</v>
      </c>
      <c r="N10" s="158"/>
      <c r="P10" s="14">
        <v>0</v>
      </c>
      <c r="Q10" s="14">
        <v>1</v>
      </c>
      <c r="R10" s="2"/>
      <c r="S10" s="2"/>
      <c r="T10" s="10"/>
    </row>
    <row r="11" spans="1:24" ht="13.5" customHeight="1">
      <c r="A11" s="150"/>
      <c r="B11" s="150"/>
      <c r="C11" s="133" t="s">
        <v>42</v>
      </c>
      <c r="D11" s="132">
        <v>36</v>
      </c>
      <c r="E11" s="159" t="s">
        <v>354</v>
      </c>
      <c r="F11" s="159"/>
      <c r="G11" s="159" t="s">
        <v>441</v>
      </c>
      <c r="H11" s="159"/>
      <c r="I11" s="159" t="s">
        <v>354</v>
      </c>
      <c r="J11" s="159"/>
      <c r="K11" s="159" t="s">
        <v>386</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51</vt:i4>
      </vt:variant>
    </vt:vector>
  </HeadingPairs>
  <TitlesOfParts>
    <vt:vector size="97" baseType="lpstr">
      <vt:lpstr>CS_ELECT</vt:lpstr>
      <vt:lpstr>HSS_ELECT</vt:lpstr>
      <vt:lpstr>LANG_ELECT</vt:lpstr>
      <vt:lpstr>NSCI_ELECT</vt:lpstr>
      <vt:lpstr>TECH_ELECT</vt:lpstr>
      <vt:lpstr>RES_ELECT</vt:lpstr>
      <vt:lpstr>ENPH211</vt:lpstr>
      <vt:lpstr>ENPH213</vt:lpstr>
      <vt:lpstr>ENPH225</vt:lpstr>
      <vt:lpstr>ENPH239</vt:lpstr>
      <vt:lpstr>ENPH242</vt:lpstr>
      <vt:lpstr>ENPH252</vt:lpstr>
      <vt:lpstr>ENPH253</vt:lpstr>
      <vt:lpstr>ENPH312</vt:lpstr>
      <vt:lpstr>ENPH321</vt:lpstr>
      <vt:lpstr>ENPH334</vt:lpstr>
      <vt:lpstr>ENPH336</vt:lpstr>
      <vt:lpstr>ENPH344</vt:lpstr>
      <vt:lpstr>ENPH345</vt:lpstr>
      <vt:lpstr>ENPH353</vt:lpstr>
      <vt:lpstr>ENPH354</vt:lpstr>
      <vt:lpstr>ENPH372</vt:lpstr>
      <vt:lpstr>ENPH414</vt:lpstr>
      <vt:lpstr>ENPH431</vt:lpstr>
      <vt:lpstr>ENPH444</vt:lpstr>
      <vt:lpstr>ENPH453</vt:lpstr>
      <vt:lpstr>ENPH454</vt:lpstr>
      <vt:lpstr>ENPH455</vt:lpstr>
      <vt:lpstr>ENPH456</vt:lpstr>
      <vt:lpstr>ENPH457</vt:lpstr>
      <vt:lpstr>ENPH460</vt:lpstr>
      <vt:lpstr>ENPH472</vt:lpstr>
      <vt:lpstr>ENPH480</vt:lpstr>
      <vt:lpstr>ENPH481</vt:lpstr>
      <vt:lpstr>ENPH483</vt:lpstr>
      <vt:lpstr>ENPH490</vt:lpstr>
      <vt:lpstr>ENPH491</vt:lpstr>
      <vt:lpstr>ENPH495</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CS_ELECT!Print_Area</vt:lpstr>
      <vt:lpstr>ENPH211!Print_Area</vt:lpstr>
      <vt:lpstr>ENPH213!Print_Area</vt:lpstr>
      <vt:lpstr>ENPH225!Print_Area</vt:lpstr>
      <vt:lpstr>ENPH239!Print_Area</vt:lpstr>
      <vt:lpstr>ENPH242!Print_Area</vt:lpstr>
      <vt:lpstr>ENPH252!Print_Area</vt:lpstr>
      <vt:lpstr>ENPH253!Print_Area</vt:lpstr>
      <vt:lpstr>ENPH312!Print_Area</vt:lpstr>
      <vt:lpstr>ENPH321!Print_Area</vt:lpstr>
      <vt:lpstr>ENPH334!Print_Area</vt:lpstr>
      <vt:lpstr>ENPH336!Print_Area</vt:lpstr>
      <vt:lpstr>ENPH344!Print_Area</vt:lpstr>
      <vt:lpstr>ENPH345!Print_Area</vt:lpstr>
      <vt:lpstr>ENPH353!Print_Area</vt:lpstr>
      <vt:lpstr>ENPH354!Print_Area</vt:lpstr>
      <vt:lpstr>ENPH372!Print_Area</vt:lpstr>
      <vt:lpstr>ENPH414!Print_Area</vt:lpstr>
      <vt:lpstr>ENPH431!Print_Area</vt:lpstr>
      <vt:lpstr>ENPH444!Print_Area</vt:lpstr>
      <vt:lpstr>ENPH453!Print_Area</vt:lpstr>
      <vt:lpstr>ENPH454!Print_Area</vt:lpstr>
      <vt:lpstr>ENPH455!Print_Area</vt:lpstr>
      <vt:lpstr>ENPH456!Print_Area</vt:lpstr>
      <vt:lpstr>ENPH457!Print_Area</vt:lpstr>
      <vt:lpstr>ENPH460!Print_Area</vt:lpstr>
      <vt:lpstr>ENPH472!Print_Area</vt:lpstr>
      <vt:lpstr>ENPH480!Print_Area</vt:lpstr>
      <vt:lpstr>ENPH481!Print_Area</vt:lpstr>
      <vt:lpstr>ENPH483!Print_Area</vt:lpstr>
      <vt:lpstr>ENPH490!Print_Area</vt:lpstr>
      <vt:lpstr>ENPH491!Print_Area</vt:lpstr>
      <vt:lpstr>ENPH495!Print_Area</vt:lpstr>
      <vt:lpstr>FIC!Print_Area</vt:lpstr>
      <vt:lpstr>HSS_ELECT!Print_Area</vt:lpstr>
      <vt:lpstr>LANG_ELECT!Print_Area</vt:lpstr>
      <vt:lpstr>NSCI_ELECT!Print_Area</vt:lpstr>
      <vt:lpstr>RES_ELECT!Print_Area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2015-08-23T19:04:27Z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