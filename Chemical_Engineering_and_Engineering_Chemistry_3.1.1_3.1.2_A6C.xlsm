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76" activeTab="83"/>
  </bookViews>
  <sheets>
    <sheet name="CS_ELECT" sheetId="20" r:id="rId1"/>
    <sheet name="HSS_ELECT" sheetId="21" r:id="rId2"/>
    <sheet name="LANG_ELECT" sheetId="22" r:id="rId3"/>
    <sheet name="NSCI_ELECT" sheetId="25" r:id="rId4"/>
    <sheet name="TECH_ELECT" sheetId="29" r:id="rId5"/>
    <sheet name="RES_ELECT" sheetId="28" r:id="rId6"/>
    <sheet name="APSC400" sheetId="51" r:id="rId7"/>
    <sheet name="BCHM310" sheetId="52" r:id="rId8"/>
    <sheet name="BCHM315" sheetId="53" r:id="rId9"/>
    <sheet name="BCHM410" sheetId="54" r:id="rId10"/>
    <sheet name="BIOL102" sheetId="55" r:id="rId11"/>
    <sheet name="BIOL103" sheetId="56" r:id="rId12"/>
    <sheet name="BIOL205" sheetId="57" r:id="rId13"/>
    <sheet name="BIOL335" sheetId="58" r:id="rId14"/>
    <sheet name="BIOM300" sheetId="59" r:id="rId15"/>
    <sheet name="MBIO218" sheetId="60" r:id="rId16"/>
    <sheet name="MICR360" sheetId="61" r:id="rId17"/>
    <sheet name="CHEE209" sheetId="62" r:id="rId18"/>
    <sheet name="CHEE210" sheetId="63" r:id="rId19"/>
    <sheet name="CHEE218" sheetId="64" r:id="rId20"/>
    <sheet name="CHEE221" sheetId="65" r:id="rId21"/>
    <sheet name="CHEE222" sheetId="66" r:id="rId22"/>
    <sheet name="CHEE223" sheetId="67" r:id="rId23"/>
    <sheet name="CHEE224" sheetId="68" r:id="rId24"/>
    <sheet name="CHEE229" sheetId="69" r:id="rId25"/>
    <sheet name="CHEE310" sheetId="70" r:id="rId26"/>
    <sheet name="CHEE311" sheetId="71" r:id="rId27"/>
    <sheet name="CHEE315" sheetId="72" r:id="rId28"/>
    <sheet name="CHEE319" sheetId="73" r:id="rId29"/>
    <sheet name="CHEE321" sheetId="74" r:id="rId30"/>
    <sheet name="CHEE323" sheetId="75" r:id="rId31"/>
    <sheet name="CHEE324" sheetId="76" r:id="rId32"/>
    <sheet name="CHEE330" sheetId="77" r:id="rId33"/>
    <sheet name="CHEE331" sheetId="78" r:id="rId34"/>
    <sheet name="CHEE332" sheetId="79" r:id="rId35"/>
    <sheet name="CHEE333" sheetId="80" r:id="rId36"/>
    <sheet name="CHEE408" sheetId="81" r:id="rId37"/>
    <sheet name="CHEE340" sheetId="82" r:id="rId38"/>
    <sheet name="CHEE342" sheetId="83" r:id="rId39"/>
    <sheet name="CHEE360" sheetId="84" r:id="rId40"/>
    <sheet name="CHEE380" sheetId="85" r:id="rId41"/>
    <sheet name="CHEE405" sheetId="86" r:id="rId42"/>
    <sheet name="CHEE406" sheetId="87" r:id="rId43"/>
    <sheet name="CHEE412" sheetId="88" r:id="rId44"/>
    <sheet name="CHEE418" sheetId="89" r:id="rId45"/>
    <sheet name="CHEE420" sheetId="90" r:id="rId46"/>
    <sheet name="CHEE421" sheetId="91" r:id="rId47"/>
    <sheet name="CHEE434" sheetId="92" r:id="rId48"/>
    <sheet name="CHEE436" sheetId="93" r:id="rId49"/>
    <sheet name="CHEE440" sheetId="94" r:id="rId50"/>
    <sheet name="CHEE450" sheetId="95" r:id="rId51"/>
    <sheet name="CHEE452" sheetId="96" r:id="rId52"/>
    <sheet name="CHEE460" sheetId="97" r:id="rId53"/>
    <sheet name="CHEE461" sheetId="98" r:id="rId54"/>
    <sheet name="CHEE470" sheetId="99" r:id="rId55"/>
    <sheet name="CHEE481" sheetId="100" r:id="rId56"/>
    <sheet name="CHEE484" sheetId="101" r:id="rId57"/>
    <sheet name="CHEE490" sheetId="102" r:id="rId58"/>
    <sheet name="ENCH211" sheetId="103" r:id="rId59"/>
    <sheet name="ENCH212" sheetId="104" r:id="rId60"/>
    <sheet name="ENCH213" sheetId="105" r:id="rId61"/>
    <sheet name="ENCH222" sheetId="106" r:id="rId62"/>
    <sheet name="ENCH245" sheetId="107" r:id="rId63"/>
    <sheet name="ENCH311" sheetId="108" r:id="rId64"/>
    <sheet name="ENCH312" sheetId="109" r:id="rId65"/>
    <sheet name="ENCH321" sheetId="110" r:id="rId66"/>
    <sheet name="ENCH322" sheetId="111" r:id="rId67"/>
    <sheet name="ENCH323" sheetId="112" r:id="rId68"/>
    <sheet name="ENCH326" sheetId="113" r:id="rId69"/>
    <sheet name="ENCH345" sheetId="114" r:id="rId70"/>
    <sheet name="ENCH346" sheetId="115" r:id="rId71"/>
    <sheet name="ENCH398" sheetId="116" r:id="rId72"/>
    <sheet name="ENCH399" sheetId="117" r:id="rId73"/>
    <sheet name="ENCH411" sheetId="118" r:id="rId74"/>
    <sheet name="ENCH412" sheetId="119" r:id="rId75"/>
    <sheet name="ENCH413" sheetId="120" r:id="rId76"/>
    <sheet name="ENCH414" sheetId="121" r:id="rId77"/>
    <sheet name="ENCH415" sheetId="122" r:id="rId78"/>
    <sheet name="ENCH417" sheetId="123" r:id="rId79"/>
    <sheet name="ENCH421" sheetId="124" r:id="rId80"/>
    <sheet name="ENCH422" sheetId="125" r:id="rId81"/>
    <sheet name="ENCH423" sheetId="126" r:id="rId82"/>
    <sheet name="ENCH424" sheetId="127" r:id="rId83"/>
    <sheet name="ENCH425" sheetId="128" r:id="rId84"/>
    <sheet name="CIS" sheetId="8" r:id="rId85"/>
    <sheet name="FIC" sheetId="47" r:id="rId86"/>
    <sheet name="3.1.1" sheetId="18" r:id="rId87"/>
    <sheet name="3.1.1a" sheetId="48" r:id="rId88"/>
    <sheet name="3.1.1b" sheetId="49" r:id="rId89"/>
    <sheet name="3.1.1c" sheetId="50" r:id="rId90"/>
    <sheet name="3.1.2" sheetId="38" r:id="rId91"/>
    <sheet name="LU" sheetId="30" r:id="rId92"/>
  </sheets>
  <functionGroups builtInGroupCount="18"/>
  <externalReferences>
    <externalReference r:id="rId93"/>
  </externalReferences>
  <definedNames>
    <definedName name="CLevelRef1" localSheetId="89">'3.1.1c'!$A$4:$A$103</definedName>
    <definedName name="CLevelRef1">'3.1.1b'!$A$4:$A$103</definedName>
    <definedName name="CLevelRef2" localSheetId="87">#REF!</definedName>
    <definedName name="CLevelRef2" localSheetId="89">'3.1.1c'!$A$4:$A$103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7">#REF!</definedName>
    <definedName name="CLevelRef2" localSheetId="38">#REF!</definedName>
    <definedName name="CLevelRef2" localSheetId="39">#REF!</definedName>
    <definedName name="CLevelRef2" localSheetId="40">#REF!</definedName>
    <definedName name="CLevelRef2" localSheetId="41">#REF!</definedName>
    <definedName name="CLevelRef2" localSheetId="42">#REF!</definedName>
    <definedName name="CLevelRef2" localSheetId="36">#REF!</definedName>
    <definedName name="CLevelRef2" localSheetId="43">#REF!</definedName>
    <definedName name="CLevelRef2" localSheetId="44">#REF!</definedName>
    <definedName name="CLevelRef2" localSheetId="45">#REF!</definedName>
    <definedName name="CLevelRef2" localSheetId="46">#REF!</definedName>
    <definedName name="CLevelRef2" localSheetId="47">#REF!</definedName>
    <definedName name="CLevelRef2" localSheetId="48">#REF!</definedName>
    <definedName name="CLevelRef2" localSheetId="49">#REF!</definedName>
    <definedName name="CLevelRef2" localSheetId="50">#REF!</definedName>
    <definedName name="CLevelRef2" localSheetId="51">#REF!</definedName>
    <definedName name="CLevelRef2" localSheetId="52">#REF!</definedName>
    <definedName name="CLevelRef2" localSheetId="53">#REF!</definedName>
    <definedName name="CLevelRef2" localSheetId="54">#REF!</definedName>
    <definedName name="CLevelRef2" localSheetId="55">#REF!</definedName>
    <definedName name="CLevelRef2" localSheetId="56">#REF!</definedName>
    <definedName name="CLevelRef2" localSheetId="57">#REF!</definedName>
    <definedName name="CLevelRef2" localSheetId="58">#REF!</definedName>
    <definedName name="CLevelRef2" localSheetId="59">#REF!</definedName>
    <definedName name="CLevelRef2" localSheetId="60">#REF!</definedName>
    <definedName name="CLevelRef2" localSheetId="61">#REF!</definedName>
    <definedName name="CLevelRef2" localSheetId="62">#REF!</definedName>
    <definedName name="CLevelRef2" localSheetId="63">#REF!</definedName>
    <definedName name="CLevelRef2" localSheetId="64">#REF!</definedName>
    <definedName name="CLevelRef2" localSheetId="65">#REF!</definedName>
    <definedName name="CLevelRef2" localSheetId="66">#REF!</definedName>
    <definedName name="CLevelRef2" localSheetId="67">#REF!</definedName>
    <definedName name="CLevelRef2" localSheetId="68">#REF!</definedName>
    <definedName name="CLevelRef2" localSheetId="69">#REF!</definedName>
    <definedName name="CLevelRef2" localSheetId="70">#REF!</definedName>
    <definedName name="CLevelRef2" localSheetId="71">#REF!</definedName>
    <definedName name="CLevelRef2" localSheetId="72">#REF!</definedName>
    <definedName name="CLevelRef2" localSheetId="73">#REF!</definedName>
    <definedName name="CLevelRef2" localSheetId="74">#REF!</definedName>
    <definedName name="CLevelRef2" localSheetId="75">#REF!</definedName>
    <definedName name="CLevelRef2" localSheetId="76">#REF!</definedName>
    <definedName name="CLevelRef2" localSheetId="77">#REF!</definedName>
    <definedName name="CLevelRef2" localSheetId="78">#REF!</definedName>
    <definedName name="CLevelRef2" localSheetId="79">#REF!</definedName>
    <definedName name="CLevelRef2" localSheetId="80">#REF!</definedName>
    <definedName name="CLevelRef2" localSheetId="81">#REF!</definedName>
    <definedName name="CLevelRef2" localSheetId="82">#REF!</definedName>
    <definedName name="CLevelRef2" localSheetId="83">#REF!</definedName>
    <definedName name="CLevelRef2" localSheetId="15">#REF!</definedName>
    <definedName name="CLevelRef2" localSheetId="16">#REF!</definedName>
    <definedName name="CLevelRef2">#REF!</definedName>
    <definedName name="CLkUpRef">LU!$A$2:$C$97</definedName>
    <definedName name="CMapRef1" localSheetId="87">'3.1.1a'!$C$5:$J$107</definedName>
    <definedName name="CMapRef1">'3.1.1'!$C$5:$J$107</definedName>
    <definedName name="CMapRef2" localSheetId="87">'3.1.1a'!$C$5:$J$104</definedName>
    <definedName name="CMapRef2" localSheetId="89">#REF!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7">#REF!</definedName>
    <definedName name="CMapRef2" localSheetId="38">#REF!</definedName>
    <definedName name="CMapRef2" localSheetId="39">#REF!</definedName>
    <definedName name="CMapRef2" localSheetId="40">#REF!</definedName>
    <definedName name="CMapRef2" localSheetId="41">#REF!</definedName>
    <definedName name="CMapRef2" localSheetId="42">#REF!</definedName>
    <definedName name="CMapRef2" localSheetId="36">#REF!</definedName>
    <definedName name="CMapRef2" localSheetId="43">#REF!</definedName>
    <definedName name="CMapRef2" localSheetId="44">#REF!</definedName>
    <definedName name="CMapRef2" localSheetId="45">#REF!</definedName>
    <definedName name="CMapRef2" localSheetId="46">#REF!</definedName>
    <definedName name="CMapRef2" localSheetId="47">#REF!</definedName>
    <definedName name="CMapRef2" localSheetId="48">#REF!</definedName>
    <definedName name="CMapRef2" localSheetId="49">#REF!</definedName>
    <definedName name="CMapRef2" localSheetId="50">#REF!</definedName>
    <definedName name="CMapRef2" localSheetId="51">#REF!</definedName>
    <definedName name="CMapRef2" localSheetId="52">#REF!</definedName>
    <definedName name="CMapRef2" localSheetId="53">#REF!</definedName>
    <definedName name="CMapRef2" localSheetId="54">#REF!</definedName>
    <definedName name="CMapRef2" localSheetId="55">#REF!</definedName>
    <definedName name="CMapRef2" localSheetId="56">#REF!</definedName>
    <definedName name="CMapRef2" localSheetId="57">#REF!</definedName>
    <definedName name="CMapRef2" localSheetId="58">#REF!</definedName>
    <definedName name="CMapRef2" localSheetId="59">#REF!</definedName>
    <definedName name="CMapRef2" localSheetId="60">#REF!</definedName>
    <definedName name="CMapRef2" localSheetId="61">#REF!</definedName>
    <definedName name="CMapRef2" localSheetId="62">#REF!</definedName>
    <definedName name="CMapRef2" localSheetId="63">#REF!</definedName>
    <definedName name="CMapRef2" localSheetId="64">#REF!</definedName>
    <definedName name="CMapRef2" localSheetId="65">#REF!</definedName>
    <definedName name="CMapRef2" localSheetId="66">#REF!</definedName>
    <definedName name="CMapRef2" localSheetId="67">#REF!</definedName>
    <definedName name="CMapRef2" localSheetId="68">#REF!</definedName>
    <definedName name="CMapRef2" localSheetId="69">#REF!</definedName>
    <definedName name="CMapRef2" localSheetId="70">#REF!</definedName>
    <definedName name="CMapRef2" localSheetId="71">#REF!</definedName>
    <definedName name="CMapRef2" localSheetId="72">#REF!</definedName>
    <definedName name="CMapRef2" localSheetId="73">#REF!</definedName>
    <definedName name="CMapRef2" localSheetId="74">#REF!</definedName>
    <definedName name="CMapRef2" localSheetId="75">#REF!</definedName>
    <definedName name="CMapRef2" localSheetId="76">#REF!</definedName>
    <definedName name="CMapRef2" localSheetId="77">#REF!</definedName>
    <definedName name="CMapRef2" localSheetId="78">#REF!</definedName>
    <definedName name="CMapRef2" localSheetId="79">#REF!</definedName>
    <definedName name="CMapRef2" localSheetId="80">#REF!</definedName>
    <definedName name="CMapRef2" localSheetId="81">#REF!</definedName>
    <definedName name="CMapRef2" localSheetId="82">#REF!</definedName>
    <definedName name="CMapRef2" localSheetId="83">#REF!</definedName>
    <definedName name="CMapRef2" localSheetId="15">#REF!</definedName>
    <definedName name="CMapRef2" localSheetId="16">#REF!</definedName>
    <definedName name="CMapRef2">#REF!</definedName>
    <definedName name="CNameRef" localSheetId="85">[1]LU!$A$2:$A$101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86">'3.1.1'!$A$1:$J$67</definedName>
    <definedName name="_xlnm.Print_Area" localSheetId="87">'3.1.1a'!$A$1:$J$67</definedName>
    <definedName name="_xlnm.Print_Area" localSheetId="90">'3.1.2'!$A$1:$E$80</definedName>
    <definedName name="_xlnm.Print_Area" localSheetId="6">APSC400!$A$1:$N$57</definedName>
    <definedName name="_xlnm.Print_Area" localSheetId="7">BCHM310!$A$1:$N$57</definedName>
    <definedName name="_xlnm.Print_Area" localSheetId="8">BCHM315!$A$1:$N$57</definedName>
    <definedName name="_xlnm.Print_Area" localSheetId="9">BCHM410!$A$1:$N$57</definedName>
    <definedName name="_xlnm.Print_Area" localSheetId="10">BIOL102!$A$1:$N$57</definedName>
    <definedName name="_xlnm.Print_Area" localSheetId="11">BIOL103!$A$1:$N$57</definedName>
    <definedName name="_xlnm.Print_Area" localSheetId="12">BIOL205!$A$1:$N$57</definedName>
    <definedName name="_xlnm.Print_Area" localSheetId="13">BIOL335!$A$1:$N$57</definedName>
    <definedName name="_xlnm.Print_Area" localSheetId="14">BIOM300!$A$1:$N$57</definedName>
    <definedName name="_xlnm.Print_Area" localSheetId="17">CHEE209!$A$1:$N$57</definedName>
    <definedName name="_xlnm.Print_Area" localSheetId="18">CHEE210!$A$1:$N$57</definedName>
    <definedName name="_xlnm.Print_Area" localSheetId="19">CHEE218!$A$1:$N$57</definedName>
    <definedName name="_xlnm.Print_Area" localSheetId="20">CHEE221!$A$1:$N$57</definedName>
    <definedName name="_xlnm.Print_Area" localSheetId="21">CHEE222!$A$1:$N$57</definedName>
    <definedName name="_xlnm.Print_Area" localSheetId="22">CHEE223!$A$1:$N$57</definedName>
    <definedName name="_xlnm.Print_Area" localSheetId="23">CHEE224!$A$1:$N$57</definedName>
    <definedName name="_xlnm.Print_Area" localSheetId="24">CHEE229!$A$1:$N$57</definedName>
    <definedName name="_xlnm.Print_Area" localSheetId="25">CHEE310!$A$1:$N$57</definedName>
    <definedName name="_xlnm.Print_Area" localSheetId="26">CHEE311!$A$1:$N$57</definedName>
    <definedName name="_xlnm.Print_Area" localSheetId="27">CHEE315!$A$1:$N$57</definedName>
    <definedName name="_xlnm.Print_Area" localSheetId="28">CHEE319!$A$1:$N$57</definedName>
    <definedName name="_xlnm.Print_Area" localSheetId="29">CHEE321!$A$1:$N$57</definedName>
    <definedName name="_xlnm.Print_Area" localSheetId="30">CHEE323!$A$1:$N$57</definedName>
    <definedName name="_xlnm.Print_Area" localSheetId="31">CHEE324!$A$1:$N$57</definedName>
    <definedName name="_xlnm.Print_Area" localSheetId="32">CHEE330!$A$1:$N$57</definedName>
    <definedName name="_xlnm.Print_Area" localSheetId="33">CHEE331!$A$1:$N$57</definedName>
    <definedName name="_xlnm.Print_Area" localSheetId="34">CHEE332!$A$1:$N$57</definedName>
    <definedName name="_xlnm.Print_Area" localSheetId="35">CHEE333!$A$1:$N$57</definedName>
    <definedName name="_xlnm.Print_Area" localSheetId="37">CHEE340!$A$1:$N$57</definedName>
    <definedName name="_xlnm.Print_Area" localSheetId="38">CHEE342!$A$1:$N$57</definedName>
    <definedName name="_xlnm.Print_Area" localSheetId="39">CHEE360!$A$1:$N$57</definedName>
    <definedName name="_xlnm.Print_Area" localSheetId="40">CHEE380!$A$1:$N$57</definedName>
    <definedName name="_xlnm.Print_Area" localSheetId="41">CHEE405!$A$1:$N$57</definedName>
    <definedName name="_xlnm.Print_Area" localSheetId="42">CHEE406!$A$1:$N$57</definedName>
    <definedName name="_xlnm.Print_Area" localSheetId="36">CHEE408!$A$1:$N$57</definedName>
    <definedName name="_xlnm.Print_Area" localSheetId="43">CHEE412!$A$1:$N$57</definedName>
    <definedName name="_xlnm.Print_Area" localSheetId="44">CHEE418!$A$1:$N$57</definedName>
    <definedName name="_xlnm.Print_Area" localSheetId="45">CHEE420!$A$1:$N$57</definedName>
    <definedName name="_xlnm.Print_Area" localSheetId="46">CHEE421!$A$1:$N$57</definedName>
    <definedName name="_xlnm.Print_Area" localSheetId="47">CHEE434!$A$1:$N$57</definedName>
    <definedName name="_xlnm.Print_Area" localSheetId="48">CHEE436!$A$1:$N$57</definedName>
    <definedName name="_xlnm.Print_Area" localSheetId="49">CHEE440!$A$1:$N$57</definedName>
    <definedName name="_xlnm.Print_Area" localSheetId="50">CHEE450!$A$1:$N$57</definedName>
    <definedName name="_xlnm.Print_Area" localSheetId="51">CHEE452!$A$1:$N$57</definedName>
    <definedName name="_xlnm.Print_Area" localSheetId="52">CHEE460!$A$1:$N$57</definedName>
    <definedName name="_xlnm.Print_Area" localSheetId="53">CHEE461!$A$1:$N$57</definedName>
    <definedName name="_xlnm.Print_Area" localSheetId="54">CHEE470!$A$1:$N$57</definedName>
    <definedName name="_xlnm.Print_Area" localSheetId="55">CHEE481!$A$1:$N$57</definedName>
    <definedName name="_xlnm.Print_Area" localSheetId="56">CHEE484!$A$1:$N$57</definedName>
    <definedName name="_xlnm.Print_Area" localSheetId="57">CHEE490!$A$1:$N$57</definedName>
    <definedName name="_xlnm.Print_Area" localSheetId="84">CIS!$A$1:$N$57</definedName>
    <definedName name="_xlnm.Print_Area" localSheetId="0">CS_ELECT!$A$1:$N$58</definedName>
    <definedName name="_xlnm.Print_Area" localSheetId="58">ENCH211!$A$1:$N$57</definedName>
    <definedName name="_xlnm.Print_Area" localSheetId="59">ENCH212!$A$1:$N$57</definedName>
    <definedName name="_xlnm.Print_Area" localSheetId="60">ENCH213!$A$1:$N$57</definedName>
    <definedName name="_xlnm.Print_Area" localSheetId="61">ENCH222!$A$1:$N$57</definedName>
    <definedName name="_xlnm.Print_Area" localSheetId="62">ENCH245!$A$1:$N$57</definedName>
    <definedName name="_xlnm.Print_Area" localSheetId="63">ENCH311!$A$1:$N$57</definedName>
    <definedName name="_xlnm.Print_Area" localSheetId="64">ENCH312!$A$1:$N$57</definedName>
    <definedName name="_xlnm.Print_Area" localSheetId="65">ENCH321!$A$1:$N$57</definedName>
    <definedName name="_xlnm.Print_Area" localSheetId="66">ENCH322!$A$1:$N$57</definedName>
    <definedName name="_xlnm.Print_Area" localSheetId="67">ENCH323!$A$1:$N$57</definedName>
    <definedName name="_xlnm.Print_Area" localSheetId="68">ENCH326!$A$1:$N$57</definedName>
    <definedName name="_xlnm.Print_Area" localSheetId="69">ENCH345!$A$1:$N$57</definedName>
    <definedName name="_xlnm.Print_Area" localSheetId="70">ENCH346!$A$1:$N$57</definedName>
    <definedName name="_xlnm.Print_Area" localSheetId="71">ENCH398!$A$1:$N$57</definedName>
    <definedName name="_xlnm.Print_Area" localSheetId="72">ENCH399!$A$1:$N$57</definedName>
    <definedName name="_xlnm.Print_Area" localSheetId="73">ENCH411!$A$1:$N$57</definedName>
    <definedName name="_xlnm.Print_Area" localSheetId="74">ENCH412!$A$1:$N$57</definedName>
    <definedName name="_xlnm.Print_Area" localSheetId="75">ENCH413!$A$1:$N$57</definedName>
    <definedName name="_xlnm.Print_Area" localSheetId="76">ENCH414!$A$1:$N$57</definedName>
    <definedName name="_xlnm.Print_Area" localSheetId="77">ENCH415!$A$1:$N$57</definedName>
    <definedName name="_xlnm.Print_Area" localSheetId="78">ENCH417!$A$1:$N$57</definedName>
    <definedName name="_xlnm.Print_Area" localSheetId="79">ENCH421!$A$1:$N$57</definedName>
    <definedName name="_xlnm.Print_Area" localSheetId="80">ENCH422!$A$1:$N$57</definedName>
    <definedName name="_xlnm.Print_Area" localSheetId="81">ENCH423!$A$1:$N$57</definedName>
    <definedName name="_xlnm.Print_Area" localSheetId="82">ENCH424!$A$1:$N$57</definedName>
    <definedName name="_xlnm.Print_Area" localSheetId="83">ENCH425!$A$1:$N$57</definedName>
    <definedName name="_xlnm.Print_Area" localSheetId="85">FIC!$A$1:$N$57</definedName>
    <definedName name="_xlnm.Print_Area" localSheetId="1">HSS_ELECT!$A$1:$N$58</definedName>
    <definedName name="_xlnm.Print_Area" localSheetId="2">LANG_ELECT!$A$1:$N$58</definedName>
    <definedName name="_xlnm.Print_Area" localSheetId="15">MBIO218!$A$1:$N$57</definedName>
    <definedName name="_xlnm.Print_Area" localSheetId="16">MICR360!$A$1:$N$57</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128" l="1"/>
  <c r="K10" i="128"/>
  <c r="I10" i="128"/>
  <c r="G10" i="128"/>
  <c r="E10" i="128"/>
  <c r="M10" i="127"/>
  <c r="K10" i="127"/>
  <c r="I10" i="127"/>
  <c r="G10" i="127"/>
  <c r="E10" i="127"/>
  <c r="M10" i="126"/>
  <c r="K10" i="126"/>
  <c r="I10" i="126"/>
  <c r="G10" i="126"/>
  <c r="E10" i="126"/>
  <c r="M10" i="125"/>
  <c r="K10" i="125"/>
  <c r="I10" i="125"/>
  <c r="G10" i="125"/>
  <c r="E10" i="125"/>
  <c r="M10" i="124"/>
  <c r="K10" i="124"/>
  <c r="I10" i="124"/>
  <c r="G10" i="124"/>
  <c r="E10" i="124"/>
  <c r="M10" i="123"/>
  <c r="K10" i="123"/>
  <c r="I10" i="123"/>
  <c r="G10" i="123"/>
  <c r="E10" i="123"/>
  <c r="M10" i="122"/>
  <c r="K10" i="122"/>
  <c r="I10" i="122"/>
  <c r="G10" i="122"/>
  <c r="E10" i="122"/>
  <c r="M10" i="121"/>
  <c r="K10" i="121"/>
  <c r="I10" i="121"/>
  <c r="G10" i="121"/>
  <c r="E10" i="121"/>
  <c r="M10" i="120"/>
  <c r="K10" i="120"/>
  <c r="I10" i="120"/>
  <c r="G10" i="120"/>
  <c r="E10" i="120"/>
  <c r="M10" i="119"/>
  <c r="K10" i="119"/>
  <c r="I10" i="119"/>
  <c r="G10" i="119"/>
  <c r="E10" i="119"/>
  <c r="M10" i="118"/>
  <c r="K10" i="118"/>
  <c r="I10" i="118"/>
  <c r="G10" i="118"/>
  <c r="E10" i="118"/>
  <c r="M10" i="117"/>
  <c r="K10" i="117"/>
  <c r="I10" i="117"/>
  <c r="G10" i="117"/>
  <c r="E10" i="117"/>
  <c r="M10" i="116"/>
  <c r="K10" i="116"/>
  <c r="I10" i="116"/>
  <c r="G10" i="116"/>
  <c r="E10" i="116"/>
  <c r="M10" i="115"/>
  <c r="K10" i="115"/>
  <c r="I10" i="115"/>
  <c r="G10" i="115"/>
  <c r="E10" i="115"/>
  <c r="M10" i="114"/>
  <c r="K10" i="114"/>
  <c r="I10" i="114"/>
  <c r="G10" i="114"/>
  <c r="E10" i="114"/>
  <c r="M10" i="113"/>
  <c r="K10" i="113"/>
  <c r="I10" i="113"/>
  <c r="G10" i="113"/>
  <c r="E10" i="113"/>
  <c r="M10" i="112"/>
  <c r="K10" i="112"/>
  <c r="I10" i="112"/>
  <c r="G10" i="112"/>
  <c r="E10" i="112"/>
  <c r="M10" i="111"/>
  <c r="K10" i="111"/>
  <c r="I10" i="111"/>
  <c r="G10" i="111"/>
  <c r="E10" i="111"/>
  <c r="M10" i="110"/>
  <c r="K10" i="110"/>
  <c r="I10" i="110"/>
  <c r="G10" i="110"/>
  <c r="E10" i="110"/>
  <c r="M10" i="109"/>
  <c r="K10" i="109"/>
  <c r="I10" i="109"/>
  <c r="G10" i="109"/>
  <c r="E10" i="109"/>
  <c r="M10" i="108"/>
  <c r="K10" i="108"/>
  <c r="I10" i="108"/>
  <c r="G10" i="108"/>
  <c r="E10" i="108"/>
  <c r="M10" i="107"/>
  <c r="K10" i="107"/>
  <c r="I10" i="107"/>
  <c r="G10" i="107"/>
  <c r="E10" i="107"/>
  <c r="M10" i="106"/>
  <c r="K10" i="106"/>
  <c r="I10" i="106"/>
  <c r="G10" i="106"/>
  <c r="E10" i="106"/>
  <c r="M10" i="105"/>
  <c r="K10" i="105"/>
  <c r="I10" i="105"/>
  <c r="G10" i="105"/>
  <c r="E10" i="105"/>
  <c r="M10" i="104"/>
  <c r="K10" i="104"/>
  <c r="I10" i="104"/>
  <c r="G10" i="104"/>
  <c r="E10" i="104"/>
  <c r="M10" i="103"/>
  <c r="K10" i="103"/>
  <c r="I10" i="103"/>
  <c r="G10" i="103"/>
  <c r="E10" i="103"/>
  <c r="M10" i="102"/>
  <c r="K10" i="102"/>
  <c r="I10" i="102"/>
  <c r="G10" i="102"/>
  <c r="E10" i="102"/>
  <c r="M10" i="101"/>
  <c r="K10" i="101"/>
  <c r="I10" i="101"/>
  <c r="G10" i="101"/>
  <c r="E10" i="101"/>
  <c r="M10" i="100"/>
  <c r="K10" i="100"/>
  <c r="I10" i="100"/>
  <c r="G10" i="100"/>
  <c r="E10" i="100"/>
  <c r="M10" i="99"/>
  <c r="K10" i="99"/>
  <c r="I10" i="99"/>
  <c r="G10" i="99"/>
  <c r="E10" i="99"/>
  <c r="M10" i="98"/>
  <c r="K10" i="98"/>
  <c r="I10" i="98"/>
  <c r="G10" i="98"/>
  <c r="E10" i="98"/>
  <c r="M10" i="97"/>
  <c r="K10" i="97"/>
  <c r="I10" i="97"/>
  <c r="G10" i="97"/>
  <c r="E10" i="97"/>
  <c r="M10" i="96"/>
  <c r="K10" i="96"/>
  <c r="I10" i="96"/>
  <c r="G10" i="96"/>
  <c r="E10" i="96"/>
  <c r="M10" i="95"/>
  <c r="K10" i="95"/>
  <c r="I10" i="95"/>
  <c r="G10" i="95"/>
  <c r="E10" i="95"/>
  <c r="M10" i="94"/>
  <c r="K10" i="94"/>
  <c r="I10" i="94"/>
  <c r="G10" i="94"/>
  <c r="E10" i="94"/>
  <c r="M10" i="93"/>
  <c r="K10" i="93"/>
  <c r="I10" i="93"/>
  <c r="G10" i="93"/>
  <c r="E10" i="93"/>
  <c r="M10" i="92"/>
  <c r="K10" i="92"/>
  <c r="I10" i="92"/>
  <c r="G10" i="92"/>
  <c r="E10" i="92"/>
  <c r="M10" i="91"/>
  <c r="K10" i="91"/>
  <c r="I10" i="91"/>
  <c r="G10" i="91"/>
  <c r="E10" i="91"/>
  <c r="M10" i="90"/>
  <c r="K10" i="90"/>
  <c r="I10" i="90"/>
  <c r="G10" i="90"/>
  <c r="E10" i="90"/>
  <c r="M10" i="89"/>
  <c r="K10" i="89"/>
  <c r="I10" i="89"/>
  <c r="G10" i="89"/>
  <c r="E10" i="89"/>
  <c r="M10" i="88"/>
  <c r="K10" i="88"/>
  <c r="I10" i="88"/>
  <c r="G10" i="88"/>
  <c r="E10" i="88"/>
  <c r="M10" i="87"/>
  <c r="K10" i="87"/>
  <c r="I10" i="87"/>
  <c r="G10" i="87"/>
  <c r="E10" i="87"/>
  <c r="M10" i="86"/>
  <c r="K10" i="86"/>
  <c r="I10" i="86"/>
  <c r="G10" i="86"/>
  <c r="E10" i="86"/>
  <c r="M10" i="85"/>
  <c r="K10" i="85"/>
  <c r="I10" i="85"/>
  <c r="G10" i="85"/>
  <c r="E10" i="85"/>
  <c r="M10" i="84"/>
  <c r="K10" i="84"/>
  <c r="I10" i="84"/>
  <c r="G10" i="84"/>
  <c r="E10" i="84"/>
  <c r="M10" i="83"/>
  <c r="K10" i="83"/>
  <c r="I10" i="83"/>
  <c r="G10" i="83"/>
  <c r="E10" i="83"/>
  <c r="M10" i="82"/>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<sst xmlns="http://schemas.openxmlformats.org/spreadsheetml/2006/main" count="11834" uniqueCount="537">
  <si>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</si>
  <si>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</si>
  <si>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</si>
  <si>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</si>
  <si>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</si>
  <si>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</si>
  <si>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</si>
  <si>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</si>
  <si>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</si>
  <si>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</si>
  <si>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</si>
  <si>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</si>
  <si>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</si>
  <si>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</si>
  <si>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</si>
  <si>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</si>
  <si>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</si>
  <si>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</si>
  <si>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</si>
  <si>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</si>
  <si>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</si>
  <si>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</si>
  <si>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</si>
  <si>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</si>
  <si>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</si>
  <si>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</si>
  <si>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</si>
  <si>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</si>
  <si>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</si>
  <si>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</si>
  <si>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</si>
  <si>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</si>
  <si>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</si>
  <si>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</si>
  <si>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</si>
  <si>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</si>
  <si>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</si>
  <si>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</si>
  <si>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</si>
  <si>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</si>
  <si>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</si>
  <si>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</si>
  <si>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</si>
  <si>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</si>
  <si>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</si>
  <si>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</si>
  <si>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</si>
  <si>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</si>
  <si>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</si>
  <si>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</si>
  <si>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</si>
  <si>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</si>
  <si>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</si>
  <si>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</si>
  <si>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</si>
  <si>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</si>
  <si>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</si>
  <si>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</si>
  <si>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</si>
  <si>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</si>
  <si>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</si>
  <si>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</si>
  <si>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</si>
  <si>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</si>
  <si>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</si>
  <si>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</si>
  <si>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</si>
  <si>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</si>
  <si>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</si>
  <si>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</si>
  <si>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</si>
  <si>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</si>
  <si>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</si>
  <si>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</si>
  <si>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</si>
  <si>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</si>
  <si>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</si>
  <si>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</si>
  <si>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</si>
  <si>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</si>
  <si>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</si>
  <si>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</si>
  <si>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</si>
  <si>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</si>
  <si>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</si>
  <si>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</si>
  <si>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</si>
  <si>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</si>
  <si>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</si>
  <si>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</si>
  <si>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</si>
  <si>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</si>
  <si>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</si>
  <si>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</si>
  <si>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</si>
  <si>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</si>
  <si>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</si>
  <si>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</si>
  <si>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</si>
  <si>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</si>
  <si>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</si>
  <si>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</si>
  <si>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</si>
  <si>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</si>
  <si>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</si>
  <si>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</si>
  <si>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</si>
  <si>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</si>
  <si>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</si>
  <si>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</si>
  <si>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</si>
  <si>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</si>
  <si>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</si>
  <si>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</si>
  <si>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</si>
  <si>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</si>
  <si>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</si>
  <si>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</si>
  <si>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</si>
  <si>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</si>
  <si>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</si>
  <si>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</si>
  <si>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</si>
  <si>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</si>
  <si>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</si>
  <si>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</si>
  <si>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</si>
  <si>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</si>
  <si>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</si>
  <si>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</si>
  <si>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</si>
  <si>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</si>
  <si>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</si>
  <si>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</si>
  <si>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</si>
  <si>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</si>
  <si>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</si>
  <si>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</si>
  <si>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</si>
  <si>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</si>
  <si>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</si>
  <si>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</si>
  <si>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</si>
  <si>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</si>
  <si>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</si>
  <si>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</si>
  <si>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</si>
  <si>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</si>
  <si>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</si>
  <si>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</si>
  <si>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</si>
  <si>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</si>
  <si>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</si>
  <si>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</si>
  <si>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</si>
  <si>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</si>
  <si>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</si>
  <si>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</si>
  <si>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</si>
  <si>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</si>
  <si>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</si>
  <si>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</si>
  <si>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</si>
  <si>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</si>
  <si>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</si>
  <si>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</si>
  <si>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</si>
  <si>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</si>
  <si>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</si>
  <si>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</si>
  <si>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</si>
  <si>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</si>
  <si>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</si>
  <si>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</si>
  <si>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</si>
  <si>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</si>
  <si>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</si>
  <si>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</si>
  <si>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</si>
  <si>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</si>
  <si>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</si>
  <si>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</si>
  <si>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</si>
  <si>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</si>
  <si>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</si>
  <si>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</si>
  <si>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</si>
  <si>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</si>
  <si>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</si>
  <si>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</si>
  <si>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</si>
  <si>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</si>
  <si>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</si>
  <si>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</si>
  <si>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</si>
  <si>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</si>
  <si>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</si>
  <si>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</si>
  <si>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</si>
  <si>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</si>
  <si>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</si>
  <si>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</si>
  <si>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</si>
  <si>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</si>
  <si>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</si>
  <si>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</si>
  <si>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</si>
  <si>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</si>
  <si>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</si>
  <si>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</si>
  <si>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</si>
  <si>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</si>
  <si>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</si>
  <si>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</si>
  <si>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</si>
  <si>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</si>
  <si>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</si>
  <si>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</si>
  <si>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</si>
  <si>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</si>
  <si>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</si>
  <si>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</si>
  <si>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</si>
  <si>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</si>
  <si>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</si>
  <si>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</si>
  <si>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</si>
  <si>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</si>
  <si>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</si>
  <si>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</si>
  <si>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</si>
  <si>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</si>
  <si>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</si>
  <si>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</si>
  <si>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</si>
  <si>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</si>
  <si>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</si>
  <si>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</si>
  <si>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</si>
  <si>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</si>
  <si>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</si>
  <si>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</si>
  <si>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</si>
  <si>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</si>
  <si>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</si>
  <si>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</si>
  <si>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</si>
  <si>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</si>
  <si>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</si>
  <si>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</si>
  <si>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</si>
  <si>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</si>
  <si>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</si>
  <si>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</si>
  <si>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</si>
  <si>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</si>
  <si>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</si>
  <si>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</si>
  <si>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</si>
  <si>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</si>
  <si>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</si>
  <si>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</si>
  <si>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</si>
  <si>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</si>
  <si>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</si>
  <si>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</si>
  <si>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</si>
  <si>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</si>
  <si>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</si>
  <si>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</si>
  <si>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</si>
  <si>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</si>
  <si>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</si>
  <si>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</si>
  <si>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</si>
  <si>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</si>
  <si>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</si>
  <si>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</si>
  <si>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</si>
  <si>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</si>
  <si>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</si>
  <si>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</si>
  <si>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</si>
  <si>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</si>
  <si>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</si>
  <si>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</si>
  <si>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</si>
  <si>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</si>
  <si>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</si>
  <si>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</si>
  <si>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</si>
  <si>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</si>
  <si>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</si>
  <si>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</si>
  <si>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</si>
  <si>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</si>
  <si>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</si>
  <si>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</si>
  <si>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</si>
  <si>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</si>
  <si>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</si>
  <si>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</si>
  <si>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</si>
  <si>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</si>
  <si>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</si>
  <si>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</si>
  <si>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</si>
  <si>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</si>
  <si>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</si>
  <si>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</si>
  <si>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</si>
  <si>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</si>
  <si>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</si>
  <si>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</si>
  <si>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</si>
  <si>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</si>
  <si>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</si>
  <si>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</si>
  <si>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</si>
  <si>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</si>
  <si>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</si>
  <si>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</si>
  <si>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</si>
  <si>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</si>
  <si>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</si>
  <si>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</si>
  <si>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</si>
  <si>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</si>
  <si>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</si>
  <si>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</si>
  <si>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</si>
  <si>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</si>
  <si>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</si>
  <si>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</si>
  <si>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</si>
  <si>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</si>
  <si>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</si>
  <si>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</si>
  <si>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</si>
  <si>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</si>
  <si>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</si>
  <si>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</si>
  <si>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</si>
  <si>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</si>
  <si>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</si>
  <si>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</si>
  <si>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</si>
  <si>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</si>
  <si>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</si>
  <si>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</si>
  <si>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</si>
  <si>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</si>
  <si>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APSC 400</t>
  </si>
  <si>
    <t>Technology, Engineering and Management (TEAM)</t>
  </si>
  <si>
    <t>0</t>
  </si>
  <si>
    <t>21</t>
  </si>
  <si>
    <t>29</t>
  </si>
  <si>
    <t>28</t>
  </si>
  <si>
    <t>BCHM 310</t>
  </si>
  <si>
    <t>General Biochemistry</t>
  </si>
  <si>
    <t>90</t>
  </si>
  <si>
    <t>BCHM 315</t>
  </si>
  <si>
    <t>Proteins and Enzymes</t>
  </si>
  <si>
    <t>36</t>
  </si>
  <si>
    <t>BCHM 410</t>
  </si>
  <si>
    <t>Protein Structure and Function</t>
  </si>
  <si>
    <t>BIOL 102</t>
  </si>
  <si>
    <t>Introductory Biology of Cells</t>
  </si>
  <si>
    <t>45</t>
  </si>
  <si>
    <t>BIOL 103</t>
  </si>
  <si>
    <t>Introductory to Biology of Organisms</t>
  </si>
  <si>
    <t>BIOL 205</t>
  </si>
  <si>
    <t>Mendelian and Molecular Genetics</t>
  </si>
  <si>
    <t>54</t>
  </si>
  <si>
    <t>BIOL 335</t>
  </si>
  <si>
    <t>Limnology and Aquatic Ecology</t>
  </si>
  <si>
    <t>BIOM 300</t>
  </si>
  <si>
    <t>Modeling Techniques in Biology</t>
  </si>
  <si>
    <t>31</t>
  </si>
  <si>
    <t>11</t>
  </si>
  <si>
    <t>MBIO 218</t>
  </si>
  <si>
    <t>Gene Structure and Function (Molecular Biology)</t>
  </si>
  <si>
    <t>39</t>
  </si>
  <si>
    <t>MICR 360</t>
  </si>
  <si>
    <t>Immunology</t>
  </si>
  <si>
    <t>CHEE 209</t>
  </si>
  <si>
    <t>Analysis of Process Data</t>
  </si>
  <si>
    <t>27</t>
  </si>
  <si>
    <t>15</t>
  </si>
  <si>
    <t>CHEE 210</t>
  </si>
  <si>
    <t>Thermodynamic Properties of Fluids</t>
  </si>
  <si>
    <t>42</t>
  </si>
  <si>
    <t>CHEE 218</t>
  </si>
  <si>
    <t>Laboratory Projects I</t>
  </si>
  <si>
    <t>30</t>
  </si>
  <si>
    <t>CHEE 221</t>
  </si>
  <si>
    <t>Chemical Processes and Systems</t>
  </si>
  <si>
    <t>CHEE 222</t>
  </si>
  <si>
    <t>Process Dynamics and Numerical Methods</t>
  </si>
  <si>
    <t>22</t>
  </si>
  <si>
    <t>20</t>
  </si>
  <si>
    <t>CHEE 223</t>
  </si>
  <si>
    <t>Fluid Mechanics</t>
  </si>
  <si>
    <t>CHEE 224</t>
  </si>
  <si>
    <t>Transport Phenomena Fundamentals</t>
  </si>
  <si>
    <t>18</t>
  </si>
  <si>
    <t>CHEE 229</t>
  </si>
  <si>
    <t>Cell Based Engineering Principles</t>
  </si>
  <si>
    <t>35</t>
  </si>
  <si>
    <t>13</t>
  </si>
  <si>
    <t>CHEE 310</t>
  </si>
  <si>
    <t>Fundamentals of Engineering Innovation and Entrepreneurship</t>
  </si>
  <si>
    <t>CHEE 311</t>
  </si>
  <si>
    <t>Fluid Phase and Reaction Equilibrium</t>
  </si>
  <si>
    <t>12</t>
  </si>
  <si>
    <t>CHEE 315</t>
  </si>
  <si>
    <t>Laboratory Projects II</t>
  </si>
  <si>
    <t>48</t>
  </si>
  <si>
    <t>CHEE 319</t>
  </si>
  <si>
    <t>Process Dynamics and Control</t>
  </si>
  <si>
    <t>CHEE 321</t>
  </si>
  <si>
    <t>Chemical Reaction Engineering</t>
  </si>
  <si>
    <t>CHEE 323</t>
  </si>
  <si>
    <t>Industrial Catalysis</t>
  </si>
  <si>
    <t>CHEE 324</t>
  </si>
  <si>
    <t>Organic Process Development</t>
  </si>
  <si>
    <t>10</t>
  </si>
  <si>
    <t>CHEE 330</t>
  </si>
  <si>
    <t>Heat and Mass Transfer</t>
  </si>
  <si>
    <t>CHEE 331</t>
  </si>
  <si>
    <t>Design of Unit Operations</t>
  </si>
  <si>
    <t>CHEE 332</t>
  </si>
  <si>
    <t>CHEE 333</t>
  </si>
  <si>
    <t>CHEE 408</t>
  </si>
  <si>
    <t>Bioengineering Research Project</t>
  </si>
  <si>
    <t>84</t>
  </si>
  <si>
    <t>CHEE 340</t>
  </si>
  <si>
    <t>Biomedical Engineering</t>
  </si>
  <si>
    <t>CHEE 342</t>
  </si>
  <si>
    <t>Environmental Biotechnology</t>
  </si>
  <si>
    <t>CHEE 360</t>
  </si>
  <si>
    <t>Technical Communications</t>
  </si>
  <si>
    <t>CHEE 380</t>
  </si>
  <si>
    <t>Biochemical Engineering</t>
  </si>
  <si>
    <t>CHEE 405</t>
  </si>
  <si>
    <t>Biochemical/Biomedical Research Project</t>
  </si>
  <si>
    <t>CHEE 406</t>
  </si>
  <si>
    <t>Bioenvironmental Research Project</t>
  </si>
  <si>
    <t>CHEE 412</t>
  </si>
  <si>
    <t>Transport Phenomena in Chemical Engineering</t>
  </si>
  <si>
    <t>CHEE 418</t>
  </si>
  <si>
    <t>Strategies for Process Investigations</t>
  </si>
  <si>
    <t>CHEE 420</t>
  </si>
  <si>
    <t>Laboratory Projects III</t>
  </si>
  <si>
    <t>24</t>
  </si>
  <si>
    <t>CHEE 421</t>
  </si>
  <si>
    <t>Research Project</t>
  </si>
  <si>
    <t>CHEE 434</t>
  </si>
  <si>
    <t>Not offered - Process Control II</t>
  </si>
  <si>
    <t>CHEE 436</t>
  </si>
  <si>
    <t>Not offered - System Identification</t>
  </si>
  <si>
    <t>CHEE 440</t>
  </si>
  <si>
    <t>Pharmaceutical Technology</t>
  </si>
  <si>
    <t>CHEE 450</t>
  </si>
  <si>
    <t>Not offered - Engineering Biology</t>
  </si>
  <si>
    <t>CHEE 452</t>
  </si>
  <si>
    <t>Transport Phenomena in Physiological Systems</t>
  </si>
  <si>
    <t>CHEE 460</t>
  </si>
  <si>
    <t>Not offered - Applied Surface and Colloid Science</t>
  </si>
  <si>
    <t>CHEE 461</t>
  </si>
  <si>
    <t>Electrochemical Engineering</t>
  </si>
  <si>
    <t>CHEE 470</t>
  </si>
  <si>
    <t>Design of Manufacturing Processes</t>
  </si>
  <si>
    <t>75</t>
  </si>
  <si>
    <t>CHEE 481</t>
  </si>
  <si>
    <t>Not offered - Air Quality Management</t>
  </si>
  <si>
    <t>CHEE 484</t>
  </si>
  <si>
    <t>Not offered - Bioremediation</t>
  </si>
  <si>
    <t>CHEE 490</t>
  </si>
  <si>
    <t>Polymer Formulations and Processing Technology</t>
  </si>
  <si>
    <t>ENCH 211</t>
  </si>
  <si>
    <t>Main Group Chemistry</t>
  </si>
  <si>
    <t>ENCH 212</t>
  </si>
  <si>
    <t>Principles of Chemical Reactivity</t>
  </si>
  <si>
    <t>ENCH 213</t>
  </si>
  <si>
    <t>Introduction to Chemical Analysis</t>
  </si>
  <si>
    <t>40</t>
  </si>
  <si>
    <t>14</t>
  </si>
  <si>
    <t>ENCH 222</t>
  </si>
  <si>
    <t>Methods of Structure Determination</t>
  </si>
  <si>
    <t>ENCH 245</t>
  </si>
  <si>
    <t>Applied Organic Chemistry I</t>
  </si>
  <si>
    <t>38</t>
  </si>
  <si>
    <t>16</t>
  </si>
  <si>
    <t>ENCH 311</t>
  </si>
  <si>
    <t>Mechanistic Organic Chemistry</t>
  </si>
  <si>
    <t>ENCH 312</t>
  </si>
  <si>
    <t>Transition Metal Chemistry</t>
  </si>
  <si>
    <t>ENCH 321</t>
  </si>
  <si>
    <t>Instrumental Chemical Analysis</t>
  </si>
  <si>
    <t>ENCH 322</t>
  </si>
  <si>
    <t>The Chemical Bond: Computation and Spectroscopy</t>
  </si>
  <si>
    <t>ENCH 323</t>
  </si>
  <si>
    <t>Biological Chemistry</t>
  </si>
  <si>
    <t>ENCH 326</t>
  </si>
  <si>
    <t>Environmental and Green Chemistry</t>
  </si>
  <si>
    <t>ENCH 345</t>
  </si>
  <si>
    <t>Applied Organic Chemistry II</t>
  </si>
  <si>
    <t>ENCH 346</t>
  </si>
  <si>
    <t>Quantum Mechanics and Molecular Simulation</t>
  </si>
  <si>
    <t>ENCH 398</t>
  </si>
  <si>
    <t>Experimental Chemistry I</t>
  </si>
  <si>
    <t>ENCH 399</t>
  </si>
  <si>
    <t>Experimental Chemistry II</t>
  </si>
  <si>
    <t>ENCH 411</t>
  </si>
  <si>
    <t>Advanced Analytical Chemistry</t>
  </si>
  <si>
    <t>ENCH 412</t>
  </si>
  <si>
    <t>Statistical Mechanics</t>
  </si>
  <si>
    <t>ENCH 413</t>
  </si>
  <si>
    <t>Not offered - Computational Chemistry</t>
  </si>
  <si>
    <t>ENCH 414</t>
  </si>
  <si>
    <t>Catalysis</t>
  </si>
  <si>
    <t>ENCH 415</t>
  </si>
  <si>
    <t>Electrochemistry and Electrocatalysis</t>
  </si>
  <si>
    <t>ENCH 417</t>
  </si>
  <si>
    <t>76</t>
  </si>
  <si>
    <t>32</t>
  </si>
  <si>
    <t>ENCH 421</t>
  </si>
  <si>
    <t>Advanced Methods in Physical chemistry</t>
  </si>
  <si>
    <t>ENCH 422</t>
  </si>
  <si>
    <t>Synthetic Organic Chemistry</t>
  </si>
  <si>
    <t>ENCH 423</t>
  </si>
  <si>
    <t>Topics in Inorganic and Organometallic Chemistry</t>
  </si>
  <si>
    <t>ENCH 424</t>
  </si>
  <si>
    <t>Polymer Chemistry</t>
  </si>
  <si>
    <t>ENCH 425</t>
  </si>
  <si>
    <t>Not offered - Self-Assembly and Materials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</si>
</sst>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1.xml"/><Relationship Id="rId98"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0.58333333333333337</v>
      </c>
      <c r="J10" s="158"/>
      <c r="K10" s="158">
        <f>$K$11/$D$11</f>
        <v>0.80555555555555558</v>
      </c>
      <c r="L10" s="158"/>
      <c r="M10" s="158">
        <f>$M$11/$D$11</f>
        <v>0.77777777777777779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355</v>
      </c>
      <c r="J11" s="159"/>
      <c r="K11" s="159" t="s">
        <v>356</v>
      </c>
      <c r="L11" s="159"/>
      <c r="M11" s="159" t="s">
        <v>357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6.5</v>
      </c>
      <c r="E26" s="152"/>
      <c r="F26" s="114">
        <v>3.5</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358</v>
      </c>
      <c r="D3" s="168"/>
      <c r="E3" s="168"/>
      <c r="F3" s="168"/>
      <c r="G3" s="168"/>
      <c r="H3" s="168"/>
      <c r="I3" s="168"/>
      <c r="J3" s="168"/>
      <c r="K3" s="168"/>
      <c r="L3" s="168"/>
      <c r="M3" s="168"/>
      <c r="N3" s="168"/>
      <c r="P3" s="4">
        <v>6</v>
      </c>
      <c r="Q3" s="4">
        <v>10</v>
      </c>
      <c r="R3" s="2"/>
      <c r="S3" s="2"/>
    </row>
    <row r="4" spans="1:24" ht="13.5" customHeight="1">
      <c r="A4" s="161" t="s">
        <v>25</v>
      </c>
      <c r="B4" s="161"/>
      <c r="C4" s="162" t="s">
        <v>359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2.5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360</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7.5</v>
      </c>
      <c r="E26" s="152"/>
      <c r="F26" s="114">
        <v>6</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361</v>
      </c>
      <c r="D3" s="168"/>
      <c r="E3" s="168"/>
      <c r="F3" s="168"/>
      <c r="G3" s="168"/>
      <c r="H3" s="168"/>
      <c r="I3" s="168"/>
      <c r="J3" s="168"/>
      <c r="K3" s="168"/>
      <c r="L3" s="168"/>
      <c r="M3" s="168"/>
      <c r="N3" s="168"/>
      <c r="P3" s="4">
        <v>6</v>
      </c>
      <c r="Q3" s="4">
        <v>10</v>
      </c>
      <c r="R3" s="2"/>
      <c r="S3" s="2"/>
    </row>
    <row r="4" spans="1:24" ht="13.5" customHeight="1">
      <c r="A4" s="161" t="s">
        <v>25</v>
      </c>
      <c r="B4" s="161"/>
      <c r="C4" s="162" t="s">
        <v>362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366</v>
      </c>
      <c r="D3" s="168"/>
      <c r="E3" s="168"/>
      <c r="F3" s="168"/>
      <c r="G3" s="168"/>
      <c r="H3" s="168"/>
      <c r="I3" s="168"/>
      <c r="J3" s="168"/>
      <c r="K3" s="168"/>
      <c r="L3" s="168"/>
      <c r="M3" s="168"/>
      <c r="N3" s="168"/>
      <c r="P3" s="4">
        <v>6</v>
      </c>
      <c r="Q3" s="4">
        <v>10</v>
      </c>
      <c r="R3" s="2"/>
      <c r="S3" s="2"/>
    </row>
    <row r="4" spans="1:24" ht="13.5" customHeight="1">
      <c r="A4" s="161" t="s">
        <v>25</v>
      </c>
      <c r="B4" s="161"/>
      <c r="C4" s="162" t="s">
        <v>367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1.25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368</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369</v>
      </c>
      <c r="D3" s="168"/>
      <c r="E3" s="168"/>
      <c r="F3" s="168"/>
      <c r="G3" s="168"/>
      <c r="H3" s="168"/>
      <c r="I3" s="168"/>
      <c r="J3" s="168"/>
      <c r="K3" s="168"/>
      <c r="L3" s="168"/>
      <c r="M3" s="168"/>
      <c r="N3" s="168"/>
      <c r="P3" s="4">
        <v>6</v>
      </c>
      <c r="Q3" s="4">
        <v>10</v>
      </c>
      <c r="R3" s="2"/>
      <c r="S3" s="2"/>
    </row>
    <row r="4" spans="1:24" ht="13.5" customHeight="1">
      <c r="A4" s="161" t="s">
        <v>25</v>
      </c>
      <c r="B4" s="161"/>
      <c r="C4" s="162" t="s">
        <v>370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1.25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368</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374</v>
      </c>
      <c r="D3" s="168"/>
      <c r="E3" s="168"/>
      <c r="F3" s="168"/>
      <c r="G3" s="168"/>
      <c r="H3" s="168"/>
      <c r="I3" s="168"/>
      <c r="J3" s="168"/>
      <c r="K3" s="168"/>
      <c r="L3" s="168"/>
      <c r="M3" s="168"/>
      <c r="N3" s="168"/>
      <c r="P3" s="4">
        <v>6</v>
      </c>
      <c r="Q3" s="4">
        <v>10</v>
      </c>
      <c r="R3" s="2"/>
      <c r="S3" s="2"/>
    </row>
    <row r="4" spans="1:24" ht="13.5" customHeight="1">
      <c r="A4" s="161" t="s">
        <v>25</v>
      </c>
      <c r="B4" s="161"/>
      <c r="C4" s="162" t="s">
        <v>375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376</v>
      </c>
      <c r="D3" s="168"/>
      <c r="E3" s="168"/>
      <c r="F3" s="168"/>
      <c r="G3" s="168"/>
      <c r="H3" s="168"/>
      <c r="I3" s="168"/>
      <c r="J3" s="168"/>
      <c r="K3" s="168"/>
      <c r="L3" s="168"/>
      <c r="M3" s="168"/>
      <c r="N3" s="168"/>
      <c r="P3" s="4">
        <v>6</v>
      </c>
      <c r="Q3" s="4">
        <v>10</v>
      </c>
      <c r="R3" s="2"/>
      <c r="S3" s="2"/>
    </row>
    <row r="4" spans="1:24" ht="13.5" customHeight="1">
      <c r="A4" s="161" t="s">
        <v>25</v>
      </c>
      <c r="B4" s="161"/>
      <c r="C4" s="162" t="s">
        <v>377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0.86111111111111116</v>
      </c>
      <c r="F10" s="158"/>
      <c r="G10" s="158">
        <f>$G$11/$D$11</f>
        <v>0.30555555555555558</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378</v>
      </c>
      <c r="F11" s="159"/>
      <c r="G11" s="159" t="s">
        <v>379</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380</v>
      </c>
      <c r="D3" s="168"/>
      <c r="E3" s="168"/>
      <c r="F3" s="168"/>
      <c r="G3" s="168"/>
      <c r="H3" s="168"/>
      <c r="I3" s="168"/>
      <c r="J3" s="168"/>
      <c r="K3" s="168"/>
      <c r="L3" s="168"/>
      <c r="M3" s="168"/>
      <c r="N3" s="168"/>
      <c r="P3" s="4">
        <v>6</v>
      </c>
      <c r="Q3" s="4">
        <v>10</v>
      </c>
      <c r="R3" s="2"/>
      <c r="S3" s="2"/>
    </row>
    <row r="4" spans="1:24" ht="13.5" customHeight="1">
      <c r="A4" s="161" t="s">
        <v>25</v>
      </c>
      <c r="B4" s="161"/>
      <c r="C4" s="162" t="s">
        <v>381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1.0833333333333333</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382</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383</v>
      </c>
      <c r="D3" s="168"/>
      <c r="E3" s="168"/>
      <c r="F3" s="168"/>
      <c r="G3" s="168"/>
      <c r="H3" s="168"/>
      <c r="I3" s="168"/>
      <c r="J3" s="168"/>
      <c r="K3" s="168"/>
      <c r="L3" s="168"/>
      <c r="M3" s="168"/>
      <c r="N3" s="168"/>
      <c r="P3" s="4">
        <v>6</v>
      </c>
      <c r="Q3" s="4">
        <v>10</v>
      </c>
      <c r="R3" s="2"/>
      <c r="S3" s="2"/>
    </row>
    <row r="4" spans="1:24" ht="13.5" customHeight="1">
      <c r="A4" s="161" t="s">
        <v>25</v>
      </c>
      <c r="B4" s="161"/>
      <c r="C4" s="162" t="s">
        <v>384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385</v>
      </c>
      <c r="D3" s="168"/>
      <c r="E3" s="168"/>
      <c r="F3" s="168"/>
      <c r="G3" s="168"/>
      <c r="H3" s="168"/>
      <c r="I3" s="168"/>
      <c r="J3" s="168"/>
      <c r="K3" s="168"/>
      <c r="L3" s="168"/>
      <c r="M3" s="168"/>
      <c r="N3" s="168"/>
      <c r="P3" s="4">
        <v>6</v>
      </c>
      <c r="Q3" s="4">
        <v>10</v>
      </c>
      <c r="R3" s="2"/>
      <c r="S3" s="2"/>
    </row>
    <row r="4" spans="1:24" ht="13.5" customHeight="1">
      <c r="A4" s="161" t="s">
        <v>25</v>
      </c>
      <c r="B4" s="161"/>
      <c r="C4" s="162" t="s">
        <v>386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0.75</v>
      </c>
      <c r="F10" s="158"/>
      <c r="G10" s="158">
        <f>$G$11/$D$11</f>
        <v>0</v>
      </c>
      <c r="H10" s="158"/>
      <c r="I10" s="158">
        <f>$I$11/$D$11</f>
        <v>0</v>
      </c>
      <c r="J10" s="158"/>
      <c r="K10" s="158">
        <f>$K$11/$D$11</f>
        <v>0.41666666666666669</v>
      </c>
      <c r="L10" s="158"/>
      <c r="M10" s="158">
        <f>$M$11/$D$11</f>
        <v>0</v>
      </c>
      <c r="N10" s="158"/>
      <c r="P10" s="14">
        <v>0</v>
      </c>
      <c r="Q10" s="14">
        <v>1</v>
      </c>
      <c r="R10" s="2"/>
      <c r="S10" s="2"/>
      <c r="T10" s="10"/>
    </row>
    <row r="11" spans="1:24" ht="13.5" customHeight="1">
      <c r="A11" s="150"/>
      <c r="B11" s="150"/>
      <c r="C11" s="133" t="s">
        <v>42</v>
      </c>
      <c r="D11" s="132">
        <v>36</v>
      </c>
      <c r="E11" s="159" t="s">
        <v>387</v>
      </c>
      <c r="F11" s="159"/>
      <c r="G11" s="159" t="s">
        <v>354</v>
      </c>
      <c r="H11" s="159"/>
      <c r="I11" s="159" t="s">
        <v>354</v>
      </c>
      <c r="J11" s="159"/>
      <c r="K11" s="159" t="s">
        <v>388</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0.15</v>
      </c>
      <c r="G26" s="114">
        <v>2.35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395</v>
      </c>
      <c r="D3" s="168"/>
      <c r="E3" s="168"/>
      <c r="F3" s="168"/>
      <c r="G3" s="168"/>
      <c r="H3" s="168"/>
      <c r="I3" s="168"/>
      <c r="J3" s="168"/>
      <c r="K3" s="168"/>
      <c r="L3" s="168"/>
      <c r="M3" s="168"/>
      <c r="N3" s="168"/>
      <c r="P3" s="4">
        <v>6</v>
      </c>
      <c r="Q3" s="4">
        <v>10</v>
      </c>
      <c r="R3" s="2"/>
      <c r="S3" s="2"/>
    </row>
    <row r="4" spans="1:24" ht="13.5" customHeight="1">
      <c r="A4" s="161" t="s">
        <v>25</v>
      </c>
      <c r="B4" s="161"/>
      <c r="C4" s="162" t="s">
        <v>396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397</v>
      </c>
      <c r="D3" s="168"/>
      <c r="E3" s="168"/>
      <c r="F3" s="168"/>
      <c r="G3" s="168"/>
      <c r="H3" s="168"/>
      <c r="I3" s="168"/>
      <c r="J3" s="168"/>
      <c r="K3" s="168"/>
      <c r="L3" s="168"/>
      <c r="M3" s="168"/>
      <c r="N3" s="168"/>
      <c r="P3" s="4">
        <v>6</v>
      </c>
      <c r="Q3" s="4">
        <v>10</v>
      </c>
      <c r="R3" s="2"/>
      <c r="S3" s="2"/>
    </row>
    <row r="4" spans="1:24" ht="13.5" customHeight="1">
      <c r="A4" s="161" t="s">
        <v>25</v>
      </c>
      <c r="B4" s="161"/>
      <c r="C4" s="162" t="s">
        <v>398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0.61111111111111116</v>
      </c>
      <c r="F10" s="158"/>
      <c r="G10" s="158">
        <f>$G$11/$D$11</f>
        <v>0</v>
      </c>
      <c r="H10" s="158"/>
      <c r="I10" s="158">
        <f>$I$11/$D$11</f>
        <v>0</v>
      </c>
      <c r="J10" s="158"/>
      <c r="K10" s="158">
        <f>$K$11/$D$11</f>
        <v>0.55555555555555558</v>
      </c>
      <c r="L10" s="158"/>
      <c r="M10" s="158">
        <f>$M$11/$D$11</f>
        <v>0</v>
      </c>
      <c r="N10" s="158"/>
      <c r="P10" s="14">
        <v>0</v>
      </c>
      <c r="Q10" s="14">
        <v>1</v>
      </c>
      <c r="R10" s="2"/>
      <c r="S10" s="2"/>
      <c r="T10" s="10"/>
    </row>
    <row r="11" spans="1:24" ht="13.5" customHeight="1">
      <c r="A11" s="150"/>
      <c r="B11" s="150"/>
      <c r="C11" s="133" t="s">
        <v>42</v>
      </c>
      <c r="D11" s="132">
        <v>36</v>
      </c>
      <c r="E11" s="159" t="s">
        <v>399</v>
      </c>
      <c r="F11" s="159"/>
      <c r="G11" s="159" t="s">
        <v>354</v>
      </c>
      <c r="H11" s="159"/>
      <c r="I11" s="159" t="s">
        <v>354</v>
      </c>
      <c r="J11" s="159"/>
      <c r="K11" s="159" t="s">
        <v>400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403</v>
      </c>
      <c r="D3" s="168"/>
      <c r="E3" s="168"/>
      <c r="F3" s="168"/>
      <c r="G3" s="168"/>
      <c r="H3" s="168"/>
      <c r="I3" s="168"/>
      <c r="J3" s="168"/>
      <c r="K3" s="168"/>
      <c r="L3" s="168"/>
      <c r="M3" s="168"/>
      <c r="N3" s="168"/>
      <c r="P3" s="4">
        <v>6</v>
      </c>
      <c r="Q3" s="4">
        <v>10</v>
      </c>
      <c r="R3" s="2"/>
      <c r="S3" s="2"/>
    </row>
    <row r="4" spans="1:24" ht="13.5" customHeight="1">
      <c r="A4" s="161" t="s">
        <v>25</v>
      </c>
      <c r="B4" s="161"/>
      <c r="C4" s="162" t="s">
        <v>404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0.5</v>
      </c>
      <c r="F10" s="158"/>
      <c r="G10" s="158">
        <f>$G$11/$D$11</f>
        <v>0</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405</v>
      </c>
      <c r="F11" s="159"/>
      <c r="G11" s="159" t="s">
        <v>354</v>
      </c>
      <c r="H11" s="159"/>
      <c r="I11" s="159" t="s">
        <v>354</v>
      </c>
      <c r="J11" s="159"/>
      <c r="K11" s="159" t="s">
        <v>405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406</v>
      </c>
      <c r="D3" s="168"/>
      <c r="E3" s="168"/>
      <c r="F3" s="168"/>
      <c r="G3" s="168"/>
      <c r="H3" s="168"/>
      <c r="I3" s="168"/>
      <c r="J3" s="168"/>
      <c r="K3" s="168"/>
      <c r="L3" s="168"/>
      <c r="M3" s="168"/>
      <c r="N3" s="168"/>
      <c r="P3" s="4">
        <v>6</v>
      </c>
      <c r="Q3" s="4">
        <v>10</v>
      </c>
      <c r="R3" s="2"/>
      <c r="S3" s="2"/>
    </row>
    <row r="4" spans="1:24" ht="13.5" customHeight="1">
      <c r="A4" s="161" t="s">
        <v>25</v>
      </c>
      <c r="B4" s="161"/>
      <c r="C4" s="162" t="s">
        <v>407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0.97222222222222221</v>
      </c>
      <c r="H10" s="158"/>
      <c r="I10" s="158">
        <f>$I$11/$D$11</f>
        <v>0</v>
      </c>
      <c r="J10" s="158"/>
      <c r="K10" s="158">
        <f>$K$11/$D$11</f>
        <v>0.3611111111111111</v>
      </c>
      <c r="L10" s="158"/>
      <c r="M10" s="158">
        <f>$M$11/$D$11</f>
        <v>0</v>
      </c>
      <c r="N10" s="158"/>
      <c r="P10" s="14">
        <v>0</v>
      </c>
      <c r="Q10" s="14">
        <v>1</v>
      </c>
      <c r="R10" s="2"/>
      <c r="S10" s="2"/>
      <c r="T10" s="10"/>
    </row>
    <row r="11" spans="1:24" ht="13.5" customHeight="1">
      <c r="A11" s="150"/>
      <c r="B11" s="150"/>
      <c r="C11" s="133" t="s">
        <v>42</v>
      </c>
      <c r="D11" s="132">
        <v>36</v>
      </c>
      <c r="E11" s="159" t="s">
        <v>354</v>
      </c>
      <c r="F11" s="159"/>
      <c r="G11" s="159" t="s">
        <v>408</v>
      </c>
      <c r="H11" s="159"/>
      <c r="I11" s="159" t="s">
        <v>354</v>
      </c>
      <c r="J11" s="159"/>
      <c r="K11" s="159" t="s">
        <v>409</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410</v>
      </c>
      <c r="D3" s="168"/>
      <c r="E3" s="168"/>
      <c r="F3" s="168"/>
      <c r="G3" s="168"/>
      <c r="H3" s="168"/>
      <c r="I3" s="168"/>
      <c r="J3" s="168"/>
      <c r="K3" s="168"/>
      <c r="L3" s="168"/>
      <c r="M3" s="168"/>
      <c r="N3" s="168"/>
      <c r="P3" s="4">
        <v>6</v>
      </c>
      <c r="Q3" s="4">
        <v>10</v>
      </c>
      <c r="R3" s="2"/>
      <c r="S3" s="2"/>
    </row>
    <row r="4" spans="1:24" ht="13.5" customHeight="1">
      <c r="A4" s="161" t="s">
        <v>25</v>
      </c>
      <c r="B4" s="161"/>
      <c r="C4" s="162" t="s">
        <v>411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1.1666666666666667</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412</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1.3333333333333333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417</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0.25</v>
      </c>
      <c r="G26" s="114">
        <v>3.75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418</v>
      </c>
      <c r="D3" s="168"/>
      <c r="E3" s="168"/>
      <c r="F3" s="168"/>
      <c r="G3" s="168"/>
      <c r="H3" s="168"/>
      <c r="I3" s="168"/>
      <c r="J3" s="168"/>
      <c r="K3" s="168"/>
      <c r="L3" s="168"/>
      <c r="M3" s="168"/>
      <c r="N3" s="168"/>
      <c r="P3" s="4">
        <v>6</v>
      </c>
      <c r="Q3" s="4">
        <v>10</v>
      </c>
      <c r="R3" s="2"/>
      <c r="S3" s="2"/>
    </row>
    <row r="4" spans="1:24" ht="13.5" customHeight="1">
      <c r="A4" s="161" t="s">
        <v>25</v>
      </c>
      <c r="B4" s="161"/>
      <c r="C4" s="162" t="s">
        <v>419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420</v>
      </c>
      <c r="D3" s="168"/>
      <c r="E3" s="168"/>
      <c r="F3" s="168"/>
      <c r="G3" s="168"/>
      <c r="H3" s="168"/>
      <c r="I3" s="168"/>
      <c r="J3" s="168"/>
      <c r="K3" s="168"/>
      <c r="L3" s="168"/>
      <c r="M3" s="168"/>
      <c r="N3" s="168"/>
      <c r="P3" s="4">
        <v>6</v>
      </c>
      <c r="Q3" s="4">
        <v>10</v>
      </c>
      <c r="R3" s="2"/>
      <c r="S3" s="2"/>
    </row>
    <row r="4" spans="1:24" ht="13.5" customHeight="1">
      <c r="A4" s="161" t="s">
        <v>25</v>
      </c>
      <c r="B4" s="161"/>
      <c r="C4" s="162" t="s">
        <v>421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0.80555555555555558</v>
      </c>
      <c r="L10" s="158"/>
      <c r="M10" s="158">
        <f>$M$11/$D$11</f>
        <v>0.3611111111111111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356</v>
      </c>
      <c r="L11" s="159"/>
      <c r="M11" s="159" t="s">
        <v>409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422</v>
      </c>
      <c r="D3" s="168"/>
      <c r="E3" s="168"/>
      <c r="F3" s="168"/>
      <c r="G3" s="168"/>
      <c r="H3" s="168"/>
      <c r="I3" s="168"/>
      <c r="J3" s="168"/>
      <c r="K3" s="168"/>
      <c r="L3" s="168"/>
      <c r="M3" s="168"/>
      <c r="N3" s="168"/>
      <c r="P3" s="4">
        <v>6</v>
      </c>
      <c r="Q3" s="4">
        <v>10</v>
      </c>
      <c r="R3" s="2"/>
      <c r="S3" s="2"/>
    </row>
    <row r="4" spans="1:24" ht="13.5" customHeight="1">
      <c r="A4" s="161" t="s">
        <v>25</v>
      </c>
      <c r="B4" s="161"/>
      <c r="C4" s="162" t="s">
        <v>423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0.30555555555555558</v>
      </c>
      <c r="L10" s="158"/>
      <c r="M10" s="158">
        <f>$M$11/$D$11</f>
        <v>0.55555555555555558</v>
      </c>
      <c r="N10" s="158"/>
      <c r="P10" s="14">
        <v>0</v>
      </c>
      <c r="Q10" s="14">
        <v>1</v>
      </c>
      <c r="R10" s="2"/>
      <c r="S10" s="2"/>
      <c r="T10" s="10"/>
    </row>
    <row r="11" spans="1:24" ht="13.5" customHeight="1">
      <c r="A11" s="150"/>
      <c r="B11" s="150"/>
      <c r="C11" s="133" t="s">
        <v>42</v>
      </c>
      <c r="D11" s="132">
        <v>36</v>
      </c>
      <c r="E11" s="159" t="s">
        <v>354</v>
      </c>
      <c r="F11" s="159"/>
      <c r="G11" s="159" t="s">
        <v>379</v>
      </c>
      <c r="H11" s="159"/>
      <c r="I11" s="159" t="s">
        <v>354</v>
      </c>
      <c r="J11" s="159"/>
      <c r="K11" s="159" t="s">
        <v>379</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0.27777777777777779</v>
      </c>
      <c r="L10" s="158"/>
      <c r="M10" s="158">
        <f>$M$11/$D$11</f>
        <v>0.55555555555555558</v>
      </c>
      <c r="N10" s="158"/>
      <c r="P10" s="14">
        <v>0</v>
      </c>
      <c r="Q10" s="14">
        <v>1</v>
      </c>
      <c r="R10" s="2"/>
      <c r="S10" s="2"/>
      <c r="T10" s="10"/>
    </row>
    <row r="11" spans="1:24" ht="13.5" customHeight="1">
      <c r="A11" s="150"/>
      <c r="B11" s="150"/>
      <c r="C11" s="133" t="s">
        <v>42</v>
      </c>
      <c r="D11" s="132">
        <v>36</v>
      </c>
      <c r="E11" s="159" t="s">
        <v>354</v>
      </c>
      <c r="F11" s="159"/>
      <c r="G11" s="159" t="s">
        <v>414</v>
      </c>
      <c r="H11" s="159"/>
      <c r="I11" s="159" t="s">
        <v>354</v>
      </c>
      <c r="J11" s="159"/>
      <c r="K11" s="159" t="s">
        <v>426</v>
      </c>
      <c r="L11" s="159"/>
      <c r="M11" s="159" t="s">
        <v>400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427</v>
      </c>
      <c r="D3" s="168"/>
      <c r="E3" s="168"/>
      <c r="F3" s="168"/>
      <c r="G3" s="168"/>
      <c r="H3" s="168"/>
      <c r="I3" s="168"/>
      <c r="J3" s="168"/>
      <c r="K3" s="168"/>
      <c r="L3" s="168"/>
      <c r="M3" s="168"/>
      <c r="N3" s="168"/>
      <c r="P3" s="4">
        <v>6</v>
      </c>
      <c r="Q3" s="4">
        <v>10</v>
      </c>
      <c r="R3" s="2"/>
      <c r="S3" s="2"/>
    </row>
    <row r="4" spans="1:24" ht="13.5" customHeight="1">
      <c r="A4" s="161" t="s">
        <v>25</v>
      </c>
      <c r="B4" s="161"/>
      <c r="C4" s="162" t="s">
        <v>428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429</v>
      </c>
      <c r="D3" s="168"/>
      <c r="E3" s="168"/>
      <c r="F3" s="168"/>
      <c r="G3" s="168"/>
      <c r="H3" s="168"/>
      <c r="I3" s="168"/>
      <c r="J3" s="168"/>
      <c r="K3" s="168"/>
      <c r="L3" s="168"/>
      <c r="M3" s="168"/>
      <c r="N3" s="168"/>
      <c r="P3" s="4">
        <v>6</v>
      </c>
      <c r="Q3" s="4">
        <v>10</v>
      </c>
      <c r="R3" s="2"/>
      <c r="S3" s="2"/>
    </row>
    <row r="4" spans="1:24" ht="13.5" customHeight="1">
      <c r="A4" s="161" t="s">
        <v>25</v>
      </c>
      <c r="B4" s="161"/>
      <c r="C4" s="162" t="s">
        <v>430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431</v>
      </c>
      <c r="D3" s="168"/>
      <c r="E3" s="168"/>
      <c r="F3" s="168"/>
      <c r="G3" s="168"/>
      <c r="H3" s="168"/>
      <c r="I3" s="168"/>
      <c r="J3" s="168"/>
      <c r="K3" s="168"/>
      <c r="L3" s="168"/>
      <c r="M3" s="168"/>
      <c r="N3" s="168"/>
      <c r="P3" s="4">
        <v>6</v>
      </c>
      <c r="Q3" s="4">
        <v>10</v>
      </c>
      <c r="R3" s="2"/>
      <c r="S3" s="2"/>
    </row>
    <row r="4" spans="1:24" ht="13.5" customHeight="1">
      <c r="A4" s="161" t="s">
        <v>25</v>
      </c>
      <c r="B4" s="161"/>
      <c r="C4" s="162" t="s">
        <v>430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432</v>
      </c>
      <c r="D3" s="168"/>
      <c r="E3" s="168"/>
      <c r="F3" s="168"/>
      <c r="G3" s="168"/>
      <c r="H3" s="168"/>
      <c r="I3" s="168"/>
      <c r="J3" s="168"/>
      <c r="K3" s="168"/>
      <c r="L3" s="168"/>
      <c r="M3" s="168"/>
      <c r="N3" s="168"/>
      <c r="P3" s="4">
        <v>6</v>
      </c>
      <c r="Q3" s="4">
        <v>10</v>
      </c>
      <c r="R3" s="2"/>
      <c r="S3" s="2"/>
    </row>
    <row r="4" spans="1:24" ht="13.5" customHeight="1">
      <c r="A4" s="161" t="s">
        <v>25</v>
      </c>
      <c r="B4" s="161"/>
      <c r="C4" s="162" t="s">
        <v>430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433</v>
      </c>
      <c r="D3" s="168"/>
      <c r="E3" s="168"/>
      <c r="F3" s="168"/>
      <c r="G3" s="168"/>
      <c r="H3" s="168"/>
      <c r="I3" s="168"/>
      <c r="J3" s="168"/>
      <c r="K3" s="168"/>
      <c r="L3" s="168"/>
      <c r="M3" s="168"/>
      <c r="N3" s="168"/>
      <c r="P3" s="4">
        <v>6</v>
      </c>
      <c r="Q3" s="4">
        <v>10</v>
      </c>
      <c r="R3" s="2"/>
      <c r="S3" s="2"/>
    </row>
    <row r="4" spans="1:24" ht="13.5" customHeight="1">
      <c r="A4" s="161" t="s">
        <v>25</v>
      </c>
      <c r="B4" s="161"/>
      <c r="C4" s="162" t="s">
        <v>434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2.3333333333333335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v>
      </c>
      <c r="E26" s="152"/>
      <c r="F26" s="114">
        <v>0.25</v>
      </c>
      <c r="G26" s="114">
        <v>6.75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436</v>
      </c>
      <c r="D3" s="168"/>
      <c r="E3" s="168"/>
      <c r="F3" s="168"/>
      <c r="G3" s="168"/>
      <c r="H3" s="168"/>
      <c r="I3" s="168"/>
      <c r="J3" s="168"/>
      <c r="K3" s="168"/>
      <c r="L3" s="168"/>
      <c r="M3" s="168"/>
      <c r="N3" s="168"/>
      <c r="P3" s="4">
        <v>6</v>
      </c>
      <c r="Q3" s="4">
        <v>10</v>
      </c>
      <c r="R3" s="2"/>
      <c r="S3" s="2"/>
    </row>
    <row r="4" spans="1:24" ht="13.5" customHeight="1">
      <c r="A4" s="161" t="s">
        <v>25</v>
      </c>
      <c r="B4" s="161"/>
      <c r="C4" s="162" t="s">
        <v>437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414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438</v>
      </c>
      <c r="D3" s="168"/>
      <c r="E3" s="168"/>
      <c r="F3" s="168"/>
      <c r="G3" s="168"/>
      <c r="H3" s="168"/>
      <c r="I3" s="168"/>
      <c r="J3" s="168"/>
      <c r="K3" s="168"/>
      <c r="L3" s="168"/>
      <c r="M3" s="168"/>
      <c r="N3" s="168"/>
      <c r="P3" s="4">
        <v>6</v>
      </c>
      <c r="Q3" s="4">
        <v>10</v>
      </c>
      <c r="R3" s="2"/>
      <c r="S3" s="2"/>
    </row>
    <row r="4" spans="1:24" ht="13.5" customHeight="1">
      <c r="A4" s="161" t="s">
        <v>25</v>
      </c>
      <c r="B4" s="161"/>
      <c r="C4" s="162" t="s">
        <v>439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440</v>
      </c>
      <c r="D3" s="168"/>
      <c r="E3" s="168"/>
      <c r="F3" s="168"/>
      <c r="G3" s="168"/>
      <c r="H3" s="168"/>
      <c r="I3" s="168"/>
      <c r="J3" s="168"/>
      <c r="K3" s="168"/>
      <c r="L3" s="168"/>
      <c r="M3" s="168"/>
      <c r="N3" s="168"/>
      <c r="P3" s="4">
        <v>6</v>
      </c>
      <c r="Q3" s="4">
        <v>10</v>
      </c>
      <c r="R3" s="2"/>
      <c r="S3" s="2"/>
    </row>
    <row r="4" spans="1:24" ht="13.5" customHeight="1">
      <c r="A4" s="161" t="s">
        <v>25</v>
      </c>
      <c r="B4" s="161"/>
      <c r="C4" s="162" t="s">
        <v>441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405</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0.75</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442</v>
      </c>
      <c r="D3" s="168"/>
      <c r="E3" s="168"/>
      <c r="F3" s="168"/>
      <c r="G3" s="168"/>
      <c r="H3" s="168"/>
      <c r="I3" s="168"/>
      <c r="J3" s="168"/>
      <c r="K3" s="168"/>
      <c r="L3" s="168"/>
      <c r="M3" s="168"/>
      <c r="N3" s="168"/>
      <c r="P3" s="4">
        <v>6</v>
      </c>
      <c r="Q3" s="4">
        <v>10</v>
      </c>
      <c r="R3" s="2"/>
      <c r="S3" s="2"/>
    </row>
    <row r="4" spans="1:24" ht="13.5" customHeight="1">
      <c r="A4" s="161" t="s">
        <v>25</v>
      </c>
      <c r="B4" s="161"/>
      <c r="C4" s="162" t="s">
        <v>443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444</v>
      </c>
      <c r="D3" s="168"/>
      <c r="E3" s="168"/>
      <c r="F3" s="168"/>
      <c r="G3" s="168"/>
      <c r="H3" s="168"/>
      <c r="I3" s="168"/>
      <c r="J3" s="168"/>
      <c r="K3" s="168"/>
      <c r="L3" s="168"/>
      <c r="M3" s="168"/>
      <c r="N3" s="168"/>
      <c r="P3" s="4">
        <v>6</v>
      </c>
      <c r="Q3" s="4">
        <v>10</v>
      </c>
      <c r="R3" s="2"/>
      <c r="S3" s="2"/>
    </row>
    <row r="4" spans="1:24" ht="13.5" customHeight="1">
      <c r="A4" s="161" t="s">
        <v>25</v>
      </c>
      <c r="B4" s="161"/>
      <c r="C4" s="162" t="s">
        <v>445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2.3333333333333335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v>
      </c>
      <c r="E26" s="152"/>
      <c r="F26" s="114">
        <v>0.25</v>
      </c>
      <c r="G26" s="114">
        <v>6.75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446</v>
      </c>
      <c r="D3" s="168"/>
      <c r="E3" s="168"/>
      <c r="F3" s="168"/>
      <c r="G3" s="168"/>
      <c r="H3" s="168"/>
      <c r="I3" s="168"/>
      <c r="J3" s="168"/>
      <c r="K3" s="168"/>
      <c r="L3" s="168"/>
      <c r="M3" s="168"/>
      <c r="N3" s="168"/>
      <c r="P3" s="4">
        <v>6</v>
      </c>
      <c r="Q3" s="4">
        <v>10</v>
      </c>
      <c r="R3" s="2"/>
      <c r="S3" s="2"/>
    </row>
    <row r="4" spans="1:24" ht="13.5" customHeight="1">
      <c r="A4" s="161" t="s">
        <v>25</v>
      </c>
      <c r="B4" s="161"/>
      <c r="C4" s="162" t="s">
        <v>447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2.3333333333333335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v>
      </c>
      <c r="E26" s="152"/>
      <c r="F26" s="114">
        <v>0.25</v>
      </c>
      <c r="G26" s="114">
        <v>6.75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448</v>
      </c>
      <c r="D3" s="168"/>
      <c r="E3" s="168"/>
      <c r="F3" s="168"/>
      <c r="G3" s="168"/>
      <c r="H3" s="168"/>
      <c r="I3" s="168"/>
      <c r="J3" s="168"/>
      <c r="K3" s="168"/>
      <c r="L3" s="168"/>
      <c r="M3" s="168"/>
      <c r="N3" s="168"/>
      <c r="P3" s="4">
        <v>6</v>
      </c>
      <c r="Q3" s="4">
        <v>10</v>
      </c>
      <c r="R3" s="2"/>
      <c r="S3" s="2"/>
    </row>
    <row r="4" spans="1:24" ht="13.5" customHeight="1">
      <c r="A4" s="161" t="s">
        <v>25</v>
      </c>
      <c r="B4" s="161"/>
      <c r="C4" s="162" t="s">
        <v>449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450</v>
      </c>
      <c r="D3" s="168"/>
      <c r="E3" s="168"/>
      <c r="F3" s="168"/>
      <c r="G3" s="168"/>
      <c r="H3" s="168"/>
      <c r="I3" s="168"/>
      <c r="J3" s="168"/>
      <c r="K3" s="168"/>
      <c r="L3" s="168"/>
      <c r="M3" s="168"/>
      <c r="N3" s="168"/>
      <c r="P3" s="4">
        <v>6</v>
      </c>
      <c r="Q3" s="4">
        <v>10</v>
      </c>
      <c r="R3" s="2"/>
      <c r="S3" s="2"/>
    </row>
    <row r="4" spans="1:24" ht="13.5" customHeight="1">
      <c r="A4" s="161" t="s">
        <v>25</v>
      </c>
      <c r="B4" s="161"/>
      <c r="C4" s="162" t="s">
        <v>451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0.5</v>
      </c>
      <c r="L10" s="158"/>
      <c r="M10" s="158">
        <f>$M$11/$D$11</f>
        <v>0.33333333333333331</v>
      </c>
      <c r="N10" s="158"/>
      <c r="P10" s="14">
        <v>0</v>
      </c>
      <c r="Q10" s="14">
        <v>1</v>
      </c>
      <c r="R10" s="2"/>
      <c r="S10" s="2"/>
      <c r="T10" s="10"/>
    </row>
    <row r="11" spans="1:24" ht="13.5" customHeight="1">
      <c r="A11" s="150"/>
      <c r="B11" s="150"/>
      <c r="C11" s="133" t="s">
        <v>42</v>
      </c>
      <c r="D11" s="132">
        <v>36</v>
      </c>
      <c r="E11" s="159" t="s">
        <v>414</v>
      </c>
      <c r="F11" s="159"/>
      <c r="G11" s="159" t="s">
        <v>354</v>
      </c>
      <c r="H11" s="159"/>
      <c r="I11" s="159" t="s">
        <v>354</v>
      </c>
      <c r="J11" s="159"/>
      <c r="K11" s="159" t="s">
        <v>405</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452</v>
      </c>
      <c r="D3" s="168"/>
      <c r="E3" s="168"/>
      <c r="F3" s="168"/>
      <c r="G3" s="168"/>
      <c r="H3" s="168"/>
      <c r="I3" s="168"/>
      <c r="J3" s="168"/>
      <c r="K3" s="168"/>
      <c r="L3" s="168"/>
      <c r="M3" s="168"/>
      <c r="N3" s="168"/>
      <c r="P3" s="4">
        <v>6</v>
      </c>
      <c r="Q3" s="4">
        <v>10</v>
      </c>
      <c r="R3" s="2"/>
      <c r="S3" s="2"/>
    </row>
    <row r="4" spans="1:24" ht="13.5" customHeight="1">
      <c r="A4" s="161" t="s">
        <v>25</v>
      </c>
      <c r="B4" s="161"/>
      <c r="C4" s="162" t="s">
        <v>453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454</v>
      </c>
      <c r="L11" s="159"/>
      <c r="M11" s="159" t="s">
        <v>454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0.25</v>
      </c>
      <c r="G26" s="114">
        <v>3.75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455</v>
      </c>
      <c r="D3" s="168"/>
      <c r="E3" s="168"/>
      <c r="F3" s="168"/>
      <c r="G3" s="168"/>
      <c r="H3" s="168"/>
      <c r="I3" s="168"/>
      <c r="J3" s="168"/>
      <c r="K3" s="168"/>
      <c r="L3" s="168"/>
      <c r="M3" s="168"/>
      <c r="N3" s="168"/>
      <c r="P3" s="4">
        <v>6</v>
      </c>
      <c r="Q3" s="4">
        <v>10</v>
      </c>
      <c r="R3" s="2"/>
      <c r="S3" s="2"/>
    </row>
    <row r="4" spans="1:24" ht="13.5" customHeight="1">
      <c r="A4" s="161" t="s">
        <v>25</v>
      </c>
      <c r="B4" s="161"/>
      <c r="C4" s="162" t="s">
        <v>456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2.3333333333333335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v>
      </c>
      <c r="E26" s="152"/>
      <c r="F26" s="114">
        <v>0.25</v>
      </c>
      <c r="G26" s="114">
        <v>6.75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457</v>
      </c>
      <c r="D3" s="168"/>
      <c r="E3" s="168"/>
      <c r="F3" s="168"/>
      <c r="G3" s="168"/>
      <c r="H3" s="168"/>
      <c r="I3" s="168"/>
      <c r="J3" s="168"/>
      <c r="K3" s="168"/>
      <c r="L3" s="168"/>
      <c r="M3" s="168"/>
      <c r="N3" s="168"/>
      <c r="P3" s="4">
        <v>6</v>
      </c>
      <c r="Q3" s="4">
        <v>10</v>
      </c>
      <c r="R3" s="2"/>
      <c r="S3" s="2"/>
    </row>
    <row r="4" spans="1:24" ht="13.5" customHeight="1">
      <c r="A4" s="161" t="s">
        <v>25</v>
      </c>
      <c r="B4" s="161"/>
      <c r="C4" s="162" t="s">
        <v>458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0.80555555555555558</v>
      </c>
      <c r="L10" s="158"/>
      <c r="M10" s="158">
        <f>$M$11/$D$11</f>
        <v>0.3611111111111111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356</v>
      </c>
      <c r="L11" s="159"/>
      <c r="M11" s="159" t="s">
        <v>409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459</v>
      </c>
      <c r="D3" s="168"/>
      <c r="E3" s="168"/>
      <c r="F3" s="168"/>
      <c r="G3" s="168"/>
      <c r="H3" s="168"/>
      <c r="I3" s="168"/>
      <c r="J3" s="168"/>
      <c r="K3" s="168"/>
      <c r="L3" s="168"/>
      <c r="M3" s="168"/>
      <c r="N3" s="168"/>
      <c r="P3" s="4">
        <v>6</v>
      </c>
      <c r="Q3" s="4">
        <v>10</v>
      </c>
      <c r="R3" s="2"/>
      <c r="S3" s="2"/>
    </row>
    <row r="4" spans="1:24" ht="13.5" customHeight="1">
      <c r="A4" s="161" t="s">
        <v>25</v>
      </c>
      <c r="B4" s="161"/>
      <c r="C4" s="162" t="s">
        <v>460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414</v>
      </c>
      <c r="F11" s="159"/>
      <c r="G11" s="159" t="s">
        <v>354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461</v>
      </c>
      <c r="D3" s="168"/>
      <c r="E3" s="168"/>
      <c r="F3" s="168"/>
      <c r="G3" s="168"/>
      <c r="H3" s="168"/>
      <c r="I3" s="168"/>
      <c r="J3" s="168"/>
      <c r="K3" s="168"/>
      <c r="L3" s="168"/>
      <c r="M3" s="168"/>
      <c r="N3" s="168"/>
      <c r="P3" s="4">
        <v>6</v>
      </c>
      <c r="Q3" s="4">
        <v>10</v>
      </c>
      <c r="R3" s="2"/>
      <c r="S3" s="2"/>
    </row>
    <row r="4" spans="1:24" ht="13.5" customHeight="1">
      <c r="A4" s="161" t="s">
        <v>25</v>
      </c>
      <c r="B4" s="161"/>
      <c r="C4" s="162" t="s">
        <v>462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414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463</v>
      </c>
      <c r="D3" s="168"/>
      <c r="E3" s="168"/>
      <c r="F3" s="168"/>
      <c r="G3" s="168"/>
      <c r="H3" s="168"/>
      <c r="I3" s="168"/>
      <c r="J3" s="168"/>
      <c r="K3" s="168"/>
      <c r="L3" s="168"/>
      <c r="M3" s="168"/>
      <c r="N3" s="168"/>
      <c r="P3" s="4">
        <v>6</v>
      </c>
      <c r="Q3" s="4">
        <v>10</v>
      </c>
      <c r="R3" s="2"/>
      <c r="S3" s="2"/>
    </row>
    <row r="4" spans="1:24" ht="13.5" customHeight="1">
      <c r="A4" s="161" t="s">
        <v>25</v>
      </c>
      <c r="B4" s="161"/>
      <c r="C4" s="162" t="s">
        <v>464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465</v>
      </c>
      <c r="D3" s="168"/>
      <c r="E3" s="168"/>
      <c r="F3" s="168"/>
      <c r="G3" s="168"/>
      <c r="H3" s="168"/>
      <c r="I3" s="168"/>
      <c r="J3" s="168"/>
      <c r="K3" s="168"/>
      <c r="L3" s="168"/>
      <c r="M3" s="168"/>
      <c r="N3" s="168"/>
      <c r="P3" s="4">
        <v>6</v>
      </c>
      <c r="Q3" s="4">
        <v>10</v>
      </c>
      <c r="R3" s="2"/>
      <c r="S3" s="2"/>
    </row>
    <row r="4" spans="1:24" ht="13.5" customHeight="1">
      <c r="A4" s="161" t="s">
        <v>25</v>
      </c>
      <c r="B4" s="161"/>
      <c r="C4" s="162" t="s">
        <v>466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467</v>
      </c>
      <c r="D3" s="168"/>
      <c r="E3" s="168"/>
      <c r="F3" s="168"/>
      <c r="G3" s="168"/>
      <c r="H3" s="168"/>
      <c r="I3" s="168"/>
      <c r="J3" s="168"/>
      <c r="K3" s="168"/>
      <c r="L3" s="168"/>
      <c r="M3" s="168"/>
      <c r="N3" s="168"/>
      <c r="P3" s="4">
        <v>6</v>
      </c>
      <c r="Q3" s="4">
        <v>10</v>
      </c>
      <c r="R3" s="2"/>
      <c r="S3" s="2"/>
    </row>
    <row r="4" spans="1:24" ht="13.5" customHeight="1">
      <c r="A4" s="161" t="s">
        <v>25</v>
      </c>
      <c r="B4" s="161"/>
      <c r="C4" s="162" t="s">
        <v>468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414</v>
      </c>
      <c r="H11" s="159"/>
      <c r="I11" s="159" t="s">
        <v>354</v>
      </c>
      <c r="J11" s="159"/>
      <c r="K11" s="159" t="s">
        <v>394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469</v>
      </c>
      <c r="D3" s="168"/>
      <c r="E3" s="168"/>
      <c r="F3" s="168"/>
      <c r="G3" s="168"/>
      <c r="H3" s="168"/>
      <c r="I3" s="168"/>
      <c r="J3" s="168"/>
      <c r="K3" s="168"/>
      <c r="L3" s="168"/>
      <c r="M3" s="168"/>
      <c r="N3" s="168"/>
      <c r="P3" s="4">
        <v>6</v>
      </c>
      <c r="Q3" s="4">
        <v>10</v>
      </c>
      <c r="R3" s="2"/>
      <c r="S3" s="2"/>
    </row>
    <row r="4" spans="1:24" ht="13.5" customHeight="1">
      <c r="A4" s="161" t="s">
        <v>25</v>
      </c>
      <c r="B4" s="161"/>
      <c r="C4" s="162" t="s">
        <v>470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471</v>
      </c>
      <c r="D3" s="168"/>
      <c r="E3" s="168"/>
      <c r="F3" s="168"/>
      <c r="G3" s="168"/>
      <c r="H3" s="168"/>
      <c r="I3" s="168"/>
      <c r="J3" s="168"/>
      <c r="K3" s="168"/>
      <c r="L3" s="168"/>
      <c r="M3" s="168"/>
      <c r="N3" s="168"/>
      <c r="P3" s="4">
        <v>6</v>
      </c>
      <c r="Q3" s="4">
        <v>10</v>
      </c>
      <c r="R3" s="2"/>
      <c r="S3" s="2"/>
    </row>
    <row r="4" spans="1:24" ht="13.5" customHeight="1">
      <c r="A4" s="161" t="s">
        <v>25</v>
      </c>
      <c r="B4" s="161"/>
      <c r="C4" s="162" t="s">
        <v>472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2.0833333333333335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354</v>
      </c>
      <c r="L11" s="159"/>
      <c r="M11" s="159" t="s">
        <v>473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6.25</v>
      </c>
      <c r="E26" s="152"/>
      <c r="F26" s="114">
        <v>3</v>
      </c>
      <c r="G26" s="114">
        <v>3.25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474</v>
      </c>
      <c r="D3" s="168"/>
      <c r="E3" s="168"/>
      <c r="F3" s="168"/>
      <c r="G3" s="168"/>
      <c r="H3" s="168"/>
      <c r="I3" s="168"/>
      <c r="J3" s="168"/>
      <c r="K3" s="168"/>
      <c r="L3" s="168"/>
      <c r="M3" s="168"/>
      <c r="N3" s="168"/>
      <c r="P3" s="4">
        <v>6</v>
      </c>
      <c r="Q3" s="4">
        <v>10</v>
      </c>
      <c r="R3" s="2"/>
      <c r="S3" s="2"/>
    </row>
    <row r="4" spans="1:24" ht="13.5" customHeight="1">
      <c r="A4" s="161" t="s">
        <v>25</v>
      </c>
      <c r="B4" s="161"/>
      <c r="C4" s="162" t="s">
        <v>475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454</v>
      </c>
      <c r="L11" s="159"/>
      <c r="M11" s="159" t="s">
        <v>405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476</v>
      </c>
      <c r="D3" s="168"/>
      <c r="E3" s="168"/>
      <c r="F3" s="168"/>
      <c r="G3" s="168"/>
      <c r="H3" s="168"/>
      <c r="I3" s="168"/>
      <c r="J3" s="168"/>
      <c r="K3" s="168"/>
      <c r="L3" s="168"/>
      <c r="M3" s="168"/>
      <c r="N3" s="168"/>
      <c r="P3" s="4">
        <v>6</v>
      </c>
      <c r="Q3" s="4">
        <v>10</v>
      </c>
      <c r="R3" s="2"/>
      <c r="S3" s="2"/>
    </row>
    <row r="4" spans="1:24" ht="13.5" customHeight="1">
      <c r="A4" s="161" t="s">
        <v>25</v>
      </c>
      <c r="B4" s="161"/>
      <c r="C4" s="162" t="s">
        <v>477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391</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478</v>
      </c>
      <c r="D3" s="168"/>
      <c r="E3" s="168"/>
      <c r="F3" s="168"/>
      <c r="G3" s="168"/>
      <c r="H3" s="168"/>
      <c r="I3" s="168"/>
      <c r="J3" s="168"/>
      <c r="K3" s="168"/>
      <c r="L3" s="168"/>
      <c r="M3" s="168"/>
      <c r="N3" s="168"/>
      <c r="P3" s="4">
        <v>6</v>
      </c>
      <c r="Q3" s="4">
        <v>10</v>
      </c>
      <c r="R3" s="2"/>
      <c r="S3" s="2"/>
    </row>
    <row r="4" spans="1:24" ht="13.5" customHeight="1">
      <c r="A4" s="161" t="s">
        <v>25</v>
      </c>
      <c r="B4" s="161"/>
      <c r="C4" s="162" t="s">
        <v>479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394</v>
      </c>
      <c r="L11" s="159"/>
      <c r="M11" s="159" t="s">
        <v>414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480</v>
      </c>
      <c r="D3" s="168"/>
      <c r="E3" s="168"/>
      <c r="F3" s="168"/>
      <c r="G3" s="168"/>
      <c r="H3" s="168"/>
      <c r="I3" s="168"/>
      <c r="J3" s="168"/>
      <c r="K3" s="168"/>
      <c r="L3" s="168"/>
      <c r="M3" s="168"/>
      <c r="N3" s="168"/>
      <c r="P3" s="4">
        <v>6</v>
      </c>
      <c r="Q3" s="4">
        <v>10</v>
      </c>
      <c r="R3" s="2"/>
      <c r="S3" s="2"/>
    </row>
    <row r="4" spans="1:24" ht="13.5" customHeight="1">
      <c r="A4" s="161" t="s">
        <v>25</v>
      </c>
      <c r="B4" s="161"/>
      <c r="C4" s="162" t="s">
        <v>481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482</v>
      </c>
      <c r="D3" s="168"/>
      <c r="E3" s="168"/>
      <c r="F3" s="168"/>
      <c r="G3" s="168"/>
      <c r="H3" s="168"/>
      <c r="I3" s="168"/>
      <c r="J3" s="168"/>
      <c r="K3" s="168"/>
      <c r="L3" s="168"/>
      <c r="M3" s="168"/>
      <c r="N3" s="168"/>
      <c r="P3" s="4">
        <v>6</v>
      </c>
      <c r="Q3" s="4">
        <v>10</v>
      </c>
      <c r="R3" s="2"/>
      <c r="S3" s="2"/>
    </row>
    <row r="4" spans="1:24" ht="13.5" customHeight="1">
      <c r="A4" s="161" t="s">
        <v>25</v>
      </c>
      <c r="B4" s="161"/>
      <c r="C4" s="162" t="s">
        <v>483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1.25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368</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484</v>
      </c>
      <c r="D3" s="168"/>
      <c r="E3" s="168"/>
      <c r="F3" s="168"/>
      <c r="G3" s="168"/>
      <c r="H3" s="168"/>
      <c r="I3" s="168"/>
      <c r="J3" s="168"/>
      <c r="K3" s="168"/>
      <c r="L3" s="168"/>
      <c r="M3" s="168"/>
      <c r="N3" s="168"/>
      <c r="P3" s="4">
        <v>6</v>
      </c>
      <c r="Q3" s="4">
        <v>10</v>
      </c>
      <c r="R3" s="2"/>
      <c r="S3" s="2"/>
    </row>
    <row r="4" spans="1:24" ht="13.5" customHeight="1">
      <c r="A4" s="161" t="s">
        <v>25</v>
      </c>
      <c r="B4" s="161"/>
      <c r="C4" s="162" t="s">
        <v>485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1.1111111111111112</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354</v>
      </c>
      <c r="F11" s="159"/>
      <c r="G11" s="159" t="s">
        <v>486</v>
      </c>
      <c r="H11" s="159"/>
      <c r="I11" s="159" t="s">
        <v>354</v>
      </c>
      <c r="J11" s="159"/>
      <c r="K11" s="159" t="s">
        <v>487</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488</v>
      </c>
      <c r="D3" s="168"/>
      <c r="E3" s="168"/>
      <c r="F3" s="168"/>
      <c r="G3" s="168"/>
      <c r="H3" s="168"/>
      <c r="I3" s="168"/>
      <c r="J3" s="168"/>
      <c r="K3" s="168"/>
      <c r="L3" s="168"/>
      <c r="M3" s="168"/>
      <c r="N3" s="168"/>
      <c r="P3" s="4">
        <v>6</v>
      </c>
      <c r="Q3" s="4">
        <v>10</v>
      </c>
      <c r="R3" s="2"/>
      <c r="S3" s="2"/>
    </row>
    <row r="4" spans="1:24" ht="13.5" customHeight="1">
      <c r="A4" s="161" t="s">
        <v>25</v>
      </c>
      <c r="B4" s="161"/>
      <c r="C4" s="162" t="s">
        <v>489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1.25</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368</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490</v>
      </c>
      <c r="D3" s="168"/>
      <c r="E3" s="168"/>
      <c r="F3" s="168"/>
      <c r="G3" s="168"/>
      <c r="H3" s="168"/>
      <c r="I3" s="168"/>
      <c r="J3" s="168"/>
      <c r="K3" s="168"/>
      <c r="L3" s="168"/>
      <c r="M3" s="168"/>
      <c r="N3" s="168"/>
      <c r="P3" s="4">
        <v>6</v>
      </c>
      <c r="Q3" s="4">
        <v>10</v>
      </c>
      <c r="R3" s="2"/>
      <c r="S3" s="2"/>
    </row>
    <row r="4" spans="1:24" ht="13.5" customHeight="1">
      <c r="A4" s="161" t="s">
        <v>25</v>
      </c>
      <c r="B4" s="161"/>
      <c r="C4" s="162" t="s">
        <v>491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1.0555555555555556</v>
      </c>
      <c r="H10" s="158"/>
      <c r="I10" s="158">
        <f>$I$11/$D$11</f>
        <v>0</v>
      </c>
      <c r="J10" s="158"/>
      <c r="K10" s="158">
        <f>$K$11/$D$11</f>
        <v>0.44444444444444442</v>
      </c>
      <c r="L10" s="158"/>
      <c r="M10" s="158">
        <f>$M$11/$D$11</f>
        <v>0</v>
      </c>
      <c r="N10" s="158"/>
      <c r="P10" s="14">
        <v>0</v>
      </c>
      <c r="Q10" s="14">
        <v>1</v>
      </c>
      <c r="R10" s="2"/>
      <c r="S10" s="2"/>
      <c r="T10" s="10"/>
    </row>
    <row r="11" spans="1:24" ht="13.5" customHeight="1">
      <c r="A11" s="150"/>
      <c r="B11" s="150"/>
      <c r="C11" s="133" t="s">
        <v>42</v>
      </c>
      <c r="D11" s="132">
        <v>36</v>
      </c>
      <c r="E11" s="159" t="s">
        <v>354</v>
      </c>
      <c r="F11" s="159"/>
      <c r="G11" s="159" t="s">
        <v>492</v>
      </c>
      <c r="H11" s="159"/>
      <c r="I11" s="159" t="s">
        <v>354</v>
      </c>
      <c r="J11" s="159"/>
      <c r="K11" s="159" t="s">
        <v>493</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494</v>
      </c>
      <c r="D3" s="168"/>
      <c r="E3" s="168"/>
      <c r="F3" s="168"/>
      <c r="G3" s="168"/>
      <c r="H3" s="168"/>
      <c r="I3" s="168"/>
      <c r="J3" s="168"/>
      <c r="K3" s="168"/>
      <c r="L3" s="168"/>
      <c r="M3" s="168"/>
      <c r="N3" s="168"/>
      <c r="P3" s="4">
        <v>6</v>
      </c>
      <c r="Q3" s="4">
        <v>10</v>
      </c>
      <c r="R3" s="2"/>
      <c r="S3" s="2"/>
    </row>
    <row r="4" spans="1:24" ht="13.5" customHeight="1">
      <c r="A4" s="161" t="s">
        <v>25</v>
      </c>
      <c r="B4" s="161"/>
      <c r="C4" s="162" t="s">
        <v>495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496</v>
      </c>
      <c r="D3" s="168"/>
      <c r="E3" s="168"/>
      <c r="F3" s="168"/>
      <c r="G3" s="168"/>
      <c r="H3" s="168"/>
      <c r="I3" s="168"/>
      <c r="J3" s="168"/>
      <c r="K3" s="168"/>
      <c r="L3" s="168"/>
      <c r="M3" s="168"/>
      <c r="N3" s="168"/>
      <c r="P3" s="4">
        <v>6</v>
      </c>
      <c r="Q3" s="4">
        <v>10</v>
      </c>
      <c r="R3" s="2"/>
      <c r="S3" s="2"/>
    </row>
    <row r="4" spans="1:24" ht="13.5" customHeight="1">
      <c r="A4" s="161" t="s">
        <v>25</v>
      </c>
      <c r="B4" s="161"/>
      <c r="C4" s="162" t="s">
        <v>497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498</v>
      </c>
      <c r="D3" s="168"/>
      <c r="E3" s="168"/>
      <c r="F3" s="168"/>
      <c r="G3" s="168"/>
      <c r="H3" s="168"/>
      <c r="I3" s="168"/>
      <c r="J3" s="168"/>
      <c r="K3" s="168"/>
      <c r="L3" s="168"/>
      <c r="M3" s="168"/>
      <c r="N3" s="168"/>
      <c r="P3" s="4">
        <v>6</v>
      </c>
      <c r="Q3" s="4">
        <v>10</v>
      </c>
      <c r="R3" s="2"/>
      <c r="S3" s="2"/>
    </row>
    <row r="4" spans="1:24" ht="13.5" customHeight="1">
      <c r="A4" s="161" t="s">
        <v>25</v>
      </c>
      <c r="B4" s="161"/>
      <c r="C4" s="162" t="s">
        <v>499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500</v>
      </c>
      <c r="D3" s="168"/>
      <c r="E3" s="168"/>
      <c r="F3" s="168"/>
      <c r="G3" s="168"/>
      <c r="H3" s="168"/>
      <c r="I3" s="168"/>
      <c r="J3" s="168"/>
      <c r="K3" s="168"/>
      <c r="L3" s="168"/>
      <c r="M3" s="168"/>
      <c r="N3" s="168"/>
      <c r="P3" s="4">
        <v>6</v>
      </c>
      <c r="Q3" s="4">
        <v>10</v>
      </c>
      <c r="R3" s="2"/>
      <c r="S3" s="2"/>
    </row>
    <row r="4" spans="1:24" ht="13.5" customHeight="1">
      <c r="A4" s="161" t="s">
        <v>25</v>
      </c>
      <c r="B4" s="161"/>
      <c r="C4" s="162" t="s">
        <v>501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502</v>
      </c>
      <c r="D3" s="168"/>
      <c r="E3" s="168"/>
      <c r="F3" s="168"/>
      <c r="G3" s="168"/>
      <c r="H3" s="168"/>
      <c r="I3" s="168"/>
      <c r="J3" s="168"/>
      <c r="K3" s="168"/>
      <c r="L3" s="168"/>
      <c r="M3" s="168"/>
      <c r="N3" s="168"/>
      <c r="P3" s="4">
        <v>6</v>
      </c>
      <c r="Q3" s="4">
        <v>10</v>
      </c>
      <c r="R3" s="2"/>
      <c r="S3" s="2"/>
    </row>
    <row r="4" spans="1:24" ht="13.5" customHeight="1">
      <c r="A4" s="161" t="s">
        <v>25</v>
      </c>
      <c r="B4" s="161"/>
      <c r="C4" s="162" t="s">
        <v>503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504</v>
      </c>
      <c r="D3" s="168"/>
      <c r="E3" s="168"/>
      <c r="F3" s="168"/>
      <c r="G3" s="168"/>
      <c r="H3" s="168"/>
      <c r="I3" s="168"/>
      <c r="J3" s="168"/>
      <c r="K3" s="168"/>
      <c r="L3" s="168"/>
      <c r="M3" s="168"/>
      <c r="N3" s="168"/>
      <c r="P3" s="4">
        <v>6</v>
      </c>
      <c r="Q3" s="4">
        <v>10</v>
      </c>
      <c r="R3" s="2"/>
      <c r="S3" s="2"/>
    </row>
    <row r="4" spans="1:24" ht="13.5" customHeight="1">
      <c r="A4" s="161" t="s">
        <v>25</v>
      </c>
      <c r="B4" s="161"/>
      <c r="C4" s="162" t="s">
        <v>505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354</v>
      </c>
      <c r="F11" s="159"/>
      <c r="G11" s="159" t="s">
        <v>454</v>
      </c>
      <c r="H11" s="159"/>
      <c r="I11" s="159" t="s">
        <v>354</v>
      </c>
      <c r="J11" s="159"/>
      <c r="K11" s="159" t="s">
        <v>414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506</v>
      </c>
      <c r="D3" s="168"/>
      <c r="E3" s="168"/>
      <c r="F3" s="168"/>
      <c r="G3" s="168"/>
      <c r="H3" s="168"/>
      <c r="I3" s="168"/>
      <c r="J3" s="168"/>
      <c r="K3" s="168"/>
      <c r="L3" s="168"/>
      <c r="M3" s="168"/>
      <c r="N3" s="168"/>
      <c r="P3" s="4">
        <v>6</v>
      </c>
      <c r="Q3" s="4">
        <v>10</v>
      </c>
      <c r="R3" s="2"/>
      <c r="S3" s="2"/>
    </row>
    <row r="4" spans="1:24" ht="13.5" customHeight="1">
      <c r="A4" s="161" t="s">
        <v>25</v>
      </c>
      <c r="B4" s="161"/>
      <c r="C4" s="162" t="s">
        <v>507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354</v>
      </c>
      <c r="F11" s="159"/>
      <c r="G11" s="159" t="s">
        <v>454</v>
      </c>
      <c r="H11" s="159"/>
      <c r="I11" s="159" t="s">
        <v>354</v>
      </c>
      <c r="J11" s="159"/>
      <c r="K11" s="159" t="s">
        <v>414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508</v>
      </c>
      <c r="D3" s="168"/>
      <c r="E3" s="168"/>
      <c r="F3" s="168"/>
      <c r="G3" s="168"/>
      <c r="H3" s="168"/>
      <c r="I3" s="168"/>
      <c r="J3" s="168"/>
      <c r="K3" s="168"/>
      <c r="L3" s="168"/>
      <c r="M3" s="168"/>
      <c r="N3" s="168"/>
      <c r="P3" s="4">
        <v>6</v>
      </c>
      <c r="Q3" s="4">
        <v>10</v>
      </c>
      <c r="R3" s="2"/>
      <c r="S3" s="2"/>
    </row>
    <row r="4" spans="1:24" ht="13.5" customHeight="1">
      <c r="A4" s="161" t="s">
        <v>25</v>
      </c>
      <c r="B4" s="161"/>
      <c r="C4" s="162" t="s">
        <v>509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0.58333333333333337</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510</v>
      </c>
      <c r="D3" s="168"/>
      <c r="E3" s="168"/>
      <c r="F3" s="168"/>
      <c r="G3" s="168"/>
      <c r="H3" s="168"/>
      <c r="I3" s="168"/>
      <c r="J3" s="168"/>
      <c r="K3" s="168"/>
      <c r="L3" s="168"/>
      <c r="M3" s="168"/>
      <c r="N3" s="168"/>
      <c r="P3" s="4">
        <v>6</v>
      </c>
      <c r="Q3" s="4">
        <v>10</v>
      </c>
      <c r="R3" s="2"/>
      <c r="S3" s="2"/>
    </row>
    <row r="4" spans="1:24" ht="13.5" customHeight="1">
      <c r="A4" s="161" t="s">
        <v>25</v>
      </c>
      <c r="B4" s="161"/>
      <c r="C4" s="162" t="s">
        <v>511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0</v>
      </c>
      <c r="G26" s="114">
        <v>3.5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512</v>
      </c>
      <c r="D3" s="168"/>
      <c r="E3" s="168"/>
      <c r="F3" s="168"/>
      <c r="G3" s="168"/>
      <c r="H3" s="168"/>
      <c r="I3" s="168"/>
      <c r="J3" s="168"/>
      <c r="K3" s="168"/>
      <c r="L3" s="168"/>
      <c r="M3" s="168"/>
      <c r="N3" s="168"/>
      <c r="P3" s="4">
        <v>6</v>
      </c>
      <c r="Q3" s="4">
        <v>10</v>
      </c>
      <c r="R3" s="2"/>
      <c r="S3" s="2"/>
    </row>
    <row r="4" spans="1:24" ht="13.5" customHeight="1">
      <c r="A4" s="161" t="s">
        <v>25</v>
      </c>
      <c r="B4" s="161"/>
      <c r="C4" s="162" t="s">
        <v>513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0</v>
      </c>
      <c r="G26" s="114">
        <v>3.5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514</v>
      </c>
      <c r="D3" s="168"/>
      <c r="E3" s="168"/>
      <c r="F3" s="168"/>
      <c r="G3" s="168"/>
      <c r="H3" s="168"/>
      <c r="I3" s="168"/>
      <c r="J3" s="168"/>
      <c r="K3" s="168"/>
      <c r="L3" s="168"/>
      <c r="M3" s="168"/>
      <c r="N3" s="168"/>
      <c r="P3" s="4">
        <v>6</v>
      </c>
      <c r="Q3" s="4">
        <v>10</v>
      </c>
      <c r="R3" s="2"/>
      <c r="S3" s="2"/>
    </row>
    <row r="4" spans="1:24" ht="13.5" customHeight="1">
      <c r="A4" s="161" t="s">
        <v>25</v>
      </c>
      <c r="B4" s="161"/>
      <c r="C4" s="162" t="s">
        <v>515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516</v>
      </c>
      <c r="D3" s="168"/>
      <c r="E3" s="168"/>
      <c r="F3" s="168"/>
      <c r="G3" s="168"/>
      <c r="H3" s="168"/>
      <c r="I3" s="168"/>
      <c r="J3" s="168"/>
      <c r="K3" s="168"/>
      <c r="L3" s="168"/>
      <c r="M3" s="168"/>
      <c r="N3" s="168"/>
      <c r="P3" s="4">
        <v>6</v>
      </c>
      <c r="Q3" s="4">
        <v>10</v>
      </c>
      <c r="R3" s="2"/>
      <c r="S3" s="2"/>
    </row>
    <row r="4" spans="1:24" ht="13.5" customHeight="1">
      <c r="A4" s="161" t="s">
        <v>25</v>
      </c>
      <c r="B4" s="161"/>
      <c r="C4" s="162" t="s">
        <v>517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518</v>
      </c>
      <c r="D3" s="168"/>
      <c r="E3" s="168"/>
      <c r="F3" s="168"/>
      <c r="G3" s="168"/>
      <c r="H3" s="168"/>
      <c r="I3" s="168"/>
      <c r="J3" s="168"/>
      <c r="K3" s="168"/>
      <c r="L3" s="168"/>
      <c r="M3" s="168"/>
      <c r="N3" s="168"/>
      <c r="P3" s="4">
        <v>6</v>
      </c>
      <c r="Q3" s="4">
        <v>10</v>
      </c>
      <c r="R3" s="2"/>
      <c r="S3" s="2"/>
    </row>
    <row r="4" spans="1:24" ht="13.5" customHeight="1">
      <c r="A4" s="161" t="s">
        <v>25</v>
      </c>
      <c r="B4" s="161"/>
      <c r="C4" s="162" t="s">
        <v>519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520</v>
      </c>
      <c r="D3" s="168"/>
      <c r="E3" s="168"/>
      <c r="F3" s="168"/>
      <c r="G3" s="168"/>
      <c r="H3" s="168"/>
      <c r="I3" s="168"/>
      <c r="J3" s="168"/>
      <c r="K3" s="168"/>
      <c r="L3" s="168"/>
      <c r="M3" s="168"/>
      <c r="N3" s="168"/>
      <c r="P3" s="4">
        <v>6</v>
      </c>
      <c r="Q3" s="4">
        <v>10</v>
      </c>
      <c r="R3" s="2"/>
      <c r="S3" s="2"/>
    </row>
    <row r="4" spans="1:24" ht="13.5" customHeight="1">
      <c r="A4" s="161" t="s">
        <v>25</v>
      </c>
      <c r="B4" s="161"/>
      <c r="C4" s="162" t="s">
        <v>521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522</v>
      </c>
      <c r="D3" s="168"/>
      <c r="E3" s="168"/>
      <c r="F3" s="168"/>
      <c r="G3" s="168"/>
      <c r="H3" s="168"/>
      <c r="I3" s="168"/>
      <c r="J3" s="168"/>
      <c r="K3" s="168"/>
      <c r="L3" s="168"/>
      <c r="M3" s="168"/>
      <c r="N3" s="168"/>
      <c r="P3" s="4">
        <v>6</v>
      </c>
      <c r="Q3" s="4">
        <v>10</v>
      </c>
      <c r="R3" s="2"/>
      <c r="S3" s="2"/>
    </row>
    <row r="4" spans="1:24" ht="13.5" customHeight="1">
      <c r="A4" s="161" t="s">
        <v>25</v>
      </c>
      <c r="B4" s="161"/>
      <c r="C4" s="162" t="s">
        <v>523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524</v>
      </c>
      <c r="D3" s="168"/>
      <c r="E3" s="168"/>
      <c r="F3" s="168"/>
      <c r="G3" s="168"/>
      <c r="H3" s="168"/>
      <c r="I3" s="168"/>
      <c r="J3" s="168"/>
      <c r="K3" s="168"/>
      <c r="L3" s="168"/>
      <c r="M3" s="168"/>
      <c r="N3" s="168"/>
      <c r="P3" s="4">
        <v>6</v>
      </c>
      <c r="Q3" s="4">
        <v>10</v>
      </c>
      <c r="R3" s="2"/>
      <c r="S3" s="2"/>
    </row>
    <row r="4" spans="1:24" ht="13.5" customHeight="1">
      <c r="A4" s="161" t="s">
        <v>25</v>
      </c>
      <c r="B4" s="161"/>
      <c r="C4" s="162" t="s">
        <v>456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2.1111111111111112</v>
      </c>
      <c r="H10" s="158"/>
      <c r="I10" s="158">
        <f>$I$11/$D$11</f>
        <v>0</v>
      </c>
      <c r="J10" s="158"/>
      <c r="K10" s="158">
        <f>$K$11/$D$11</f>
        <v>0.88888888888888884</v>
      </c>
      <c r="L10" s="158"/>
      <c r="M10" s="158">
        <f>$M$11/$D$11</f>
        <v>0</v>
      </c>
      <c r="N10" s="158"/>
      <c r="P10" s="14">
        <v>0</v>
      </c>
      <c r="Q10" s="14">
        <v>1</v>
      </c>
      <c r="R10" s="2"/>
      <c r="S10" s="2"/>
      <c r="T10" s="10"/>
    </row>
    <row r="11" spans="1:24" ht="13.5" customHeight="1">
      <c r="A11" s="150"/>
      <c r="B11" s="150"/>
      <c r="C11" s="133" t="s">
        <v>42</v>
      </c>
      <c r="D11" s="132">
        <v>36</v>
      </c>
      <c r="E11" s="159" t="s">
        <v>354</v>
      </c>
      <c r="F11" s="159"/>
      <c r="G11" s="159" t="s">
        <v>525</v>
      </c>
      <c r="H11" s="159"/>
      <c r="I11" s="159" t="s">
        <v>354</v>
      </c>
      <c r="J11" s="159"/>
      <c r="K11" s="159" t="s">
        <v>526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9</v>
      </c>
      <c r="E26" s="152"/>
      <c r="F26" s="114">
        <v>0</v>
      </c>
      <c r="G26" s="114">
        <v>9</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527</v>
      </c>
      <c r="D3" s="168"/>
      <c r="E3" s="168"/>
      <c r="F3" s="168"/>
      <c r="G3" s="168"/>
      <c r="H3" s="168"/>
      <c r="I3" s="168"/>
      <c r="J3" s="168"/>
      <c r="K3" s="168"/>
      <c r="L3" s="168"/>
      <c r="M3" s="168"/>
      <c r="N3" s="168"/>
      <c r="P3" s="4">
        <v>6</v>
      </c>
      <c r="Q3" s="4">
        <v>10</v>
      </c>
      <c r="R3" s="2"/>
      <c r="S3" s="2"/>
    </row>
    <row r="4" spans="1:24" ht="13.5" customHeight="1">
      <c r="A4" s="161" t="s">
        <v>25</v>
      </c>
      <c r="B4" s="161"/>
      <c r="C4" s="162" t="s">
        <v>528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529</v>
      </c>
      <c r="D3" s="168"/>
      <c r="E3" s="168"/>
      <c r="F3" s="168"/>
      <c r="G3" s="168"/>
      <c r="H3" s="168"/>
      <c r="I3" s="168"/>
      <c r="J3" s="168"/>
      <c r="K3" s="168"/>
      <c r="L3" s="168"/>
      <c r="M3" s="168"/>
      <c r="N3" s="168"/>
      <c r="P3" s="4">
        <v>6</v>
      </c>
      <c r="Q3" s="4">
        <v>10</v>
      </c>
      <c r="R3" s="2"/>
      <c r="S3" s="2"/>
    </row>
    <row r="4" spans="1:24" ht="13.5" customHeight="1">
      <c r="A4" s="161" t="s">
        <v>25</v>
      </c>
      <c r="B4" s="161"/>
      <c r="C4" s="162" t="s">
        <v>530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391</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531</v>
      </c>
      <c r="D3" s="168"/>
      <c r="E3" s="168"/>
      <c r="F3" s="168"/>
      <c r="G3" s="168"/>
      <c r="H3" s="168"/>
      <c r="I3" s="168"/>
      <c r="J3" s="168"/>
      <c r="K3" s="168"/>
      <c r="L3" s="168"/>
      <c r="M3" s="168"/>
      <c r="N3" s="168"/>
      <c r="P3" s="4">
        <v>6</v>
      </c>
      <c r="Q3" s="4">
        <v>10</v>
      </c>
      <c r="R3" s="2"/>
      <c r="S3" s="2"/>
    </row>
    <row r="4" spans="1:24" ht="13.5" customHeight="1">
      <c r="A4" s="161" t="s">
        <v>25</v>
      </c>
      <c r="B4" s="161"/>
      <c r="C4" s="162" t="s">
        <v>532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533</v>
      </c>
      <c r="D3" s="168"/>
      <c r="E3" s="168"/>
      <c r="F3" s="168"/>
      <c r="G3" s="168"/>
      <c r="H3" s="168"/>
      <c r="I3" s="168"/>
      <c r="J3" s="168"/>
      <c r="K3" s="168"/>
      <c r="L3" s="168"/>
      <c r="M3" s="168"/>
      <c r="N3" s="168"/>
      <c r="P3" s="4">
        <v>6</v>
      </c>
      <c r="Q3" s="4">
        <v>10</v>
      </c>
      <c r="R3" s="2"/>
      <c r="S3" s="2"/>
    </row>
    <row r="4" spans="1:24" ht="13.5" customHeight="1">
      <c r="A4" s="161" t="s">
        <v>25</v>
      </c>
      <c r="B4" s="161"/>
      <c r="C4" s="162" t="s">
        <v>534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535</v>
      </c>
      <c r="D3" s="168"/>
      <c r="E3" s="168"/>
      <c r="F3" s="168"/>
      <c r="G3" s="168"/>
      <c r="H3" s="168"/>
      <c r="I3" s="168"/>
      <c r="J3" s="168"/>
      <c r="K3" s="168"/>
      <c r="L3" s="168"/>
      <c r="M3" s="168"/>
      <c r="N3" s="168"/>
      <c r="P3" s="4">
        <v>6</v>
      </c>
      <c r="Q3" s="4">
        <v>10</v>
      </c>
      <c r="R3" s="2"/>
      <c r="S3" s="2"/>
    </row>
    <row r="4" spans="1:24" ht="13.5" customHeight="1">
      <c r="A4" s="161" t="s">
        <v>25</v>
      </c>
      <c r="B4" s="161"/>
      <c r="C4" s="162" t="s">
        <v>536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92</vt:i4>
      </vt:variant>
      <vt:variant>
        <vt:lpstr>Named Ranges</vt:lpstr>
      </vt:variant>
      <vt:variant>
        <vt:i4>97</vt:i4>
      </vt:variant>
    </vt:vector>
  </HeadingPairs>
  <TitlesOfParts>
    <vt:vector size="189" baseType="lpstr">
      <vt:lpstr>CS_ELECT</vt:lpstr>
      <vt:lpstr>HSS_ELECT</vt:lpstr>
      <vt:lpstr>LANG_ELECT</vt:lpstr>
      <vt:lpstr>NSCI_ELECT</vt:lpstr>
      <vt:lpstr>TECH_ELECT</vt:lpstr>
      <vt:lpstr>RES_ELECT</vt:lpstr>
      <vt:lpstr>APSC400</vt:lpstr>
      <vt:lpstr>BCHM310</vt:lpstr>
      <vt:lpstr>BCHM315</vt:lpstr>
      <vt:lpstr>BCHM410</vt:lpstr>
      <vt:lpstr>BIOL102</vt:lpstr>
      <vt:lpstr>BIOL103</vt:lpstr>
      <vt:lpstr>BIOL205</vt:lpstr>
      <vt:lpstr>BIOL335</vt:lpstr>
      <vt:lpstr>BIOM300</vt:lpstr>
      <vt:lpstr>MBIO218</vt:lpstr>
      <vt:lpstr>MICR360</vt:lpstr>
      <vt:lpstr>CHEE209</vt:lpstr>
      <vt:lpstr>CHEE210</vt:lpstr>
      <vt:lpstr>CHEE218</vt:lpstr>
      <vt:lpstr>CHEE221</vt:lpstr>
      <vt:lpstr>CHEE222</vt:lpstr>
      <vt:lpstr>CHEE223</vt:lpstr>
      <vt:lpstr>CHEE224</vt:lpstr>
      <vt:lpstr>CHEE229</vt:lpstr>
      <vt:lpstr>CHEE310</vt:lpstr>
      <vt:lpstr>CHEE311</vt:lpstr>
      <vt:lpstr>CHEE315</vt:lpstr>
      <vt:lpstr>CHEE319</vt:lpstr>
      <vt:lpstr>CHEE321</vt:lpstr>
      <vt:lpstr>CHEE323</vt:lpstr>
      <vt:lpstr>CHEE324</vt:lpstr>
      <vt:lpstr>CHEE330</vt:lpstr>
      <vt:lpstr>CHEE331</vt:lpstr>
      <vt:lpstr>CHEE332</vt:lpstr>
      <vt:lpstr>CHEE333</vt:lpstr>
      <vt:lpstr>CHEE408</vt:lpstr>
      <vt:lpstr>CHEE340</vt:lpstr>
      <vt:lpstr>CHEE342</vt:lpstr>
      <vt:lpstr>CHEE360</vt:lpstr>
      <vt:lpstr>CHEE380</vt:lpstr>
      <vt:lpstr>CHEE405</vt:lpstr>
      <vt:lpstr>CHEE406</vt:lpstr>
      <vt:lpstr>CHEE412</vt:lpstr>
      <vt:lpstr>CHEE418</vt:lpstr>
      <vt:lpstr>CHEE420</vt:lpstr>
      <vt:lpstr>CHEE421</vt:lpstr>
      <vt:lpstr>CHEE434</vt:lpstr>
      <vt:lpstr>CHEE436</vt:lpstr>
      <vt:lpstr>CHEE440</vt:lpstr>
      <vt:lpstr>CHEE450</vt:lpstr>
      <vt:lpstr>CHEE452</vt:lpstr>
      <vt:lpstr>CHEE460</vt:lpstr>
      <vt:lpstr>CHEE461</vt:lpstr>
      <vt:lpstr>CHEE470</vt:lpstr>
      <vt:lpstr>CHEE481</vt:lpstr>
      <vt:lpstr>CHEE484</vt:lpstr>
      <vt:lpstr>CHEE490</vt:lpstr>
      <vt:lpstr>ENCH211</vt:lpstr>
      <vt:lpstr>ENCH212</vt:lpstr>
      <vt:lpstr>ENCH213</vt:lpstr>
      <vt:lpstr>ENCH222</vt:lpstr>
      <vt:lpstr>ENCH245</vt:lpstr>
      <vt:lpstr>ENCH311</vt:lpstr>
      <vt:lpstr>ENCH312</vt:lpstr>
      <vt:lpstr>ENCH321</vt:lpstr>
      <vt:lpstr>ENCH322</vt:lpstr>
      <vt:lpstr>ENCH323</vt:lpstr>
      <vt:lpstr>ENCH326</vt:lpstr>
      <vt:lpstr>ENCH345</vt:lpstr>
      <vt:lpstr>ENCH346</vt:lpstr>
      <vt:lpstr>ENCH398</vt:lpstr>
      <vt:lpstr>ENCH399</vt:lpstr>
      <vt:lpstr>ENCH411</vt:lpstr>
      <vt:lpstr>ENCH412</vt:lpstr>
      <vt:lpstr>ENCH413</vt:lpstr>
      <vt:lpstr>ENCH414</vt:lpstr>
      <vt:lpstr>ENCH415</vt:lpstr>
      <vt:lpstr>ENCH417</vt:lpstr>
      <vt:lpstr>ENCH421</vt:lpstr>
      <vt:lpstr>ENCH422</vt:lpstr>
      <vt:lpstr>ENCH423</vt:lpstr>
      <vt:lpstr>ENCH424</vt:lpstr>
      <vt:lpstr>ENCH425</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APSC400!Print_Area</vt:lpstr>
      <vt:lpstr>BCHM310!Print_Area</vt:lpstr>
      <vt:lpstr>BCHM315!Print_Area</vt:lpstr>
      <vt:lpstr>BCHM410!Print_Area</vt:lpstr>
      <vt:lpstr>BIOL102!Print_Area</vt:lpstr>
      <vt:lpstr>BIOL103!Print_Area</vt:lpstr>
      <vt:lpstr>BIOL205!Print_Area</vt:lpstr>
      <vt:lpstr>BIOL335!Print_Area</vt:lpstr>
      <vt:lpstr>BIOM300!Print_Area</vt:lpstr>
      <vt:lpstr>CHEE209!Print_Area</vt:lpstr>
      <vt:lpstr>CHEE210!Print_Area</vt:lpstr>
      <vt:lpstr>CHEE218!Print_Area</vt:lpstr>
      <vt:lpstr>CHEE221!Print_Area</vt:lpstr>
      <vt:lpstr>CHEE222!Print_Area</vt:lpstr>
      <vt:lpstr>CHEE223!Print_Area</vt:lpstr>
      <vt:lpstr>CHEE224!Print_Area</vt:lpstr>
      <vt:lpstr>CHEE229!Print_Area</vt:lpstr>
      <vt:lpstr>CHEE310!Print_Area</vt:lpstr>
      <vt:lpstr>CHEE311!Print_Area</vt:lpstr>
      <vt:lpstr>CHEE315!Print_Area</vt:lpstr>
      <vt:lpstr>CHEE319!Print_Area</vt:lpstr>
      <vt:lpstr>CHEE321!Print_Area</vt:lpstr>
      <vt:lpstr>CHEE323!Print_Area</vt:lpstr>
      <vt:lpstr>CHEE324!Print_Area</vt:lpstr>
      <vt:lpstr>CHEE330!Print_Area</vt:lpstr>
      <vt:lpstr>CHEE331!Print_Area</vt:lpstr>
      <vt:lpstr>CHEE332!Print_Area</vt:lpstr>
      <vt:lpstr>CHEE333!Print_Area</vt:lpstr>
      <vt:lpstr>CHEE340!Print_Area</vt:lpstr>
      <vt:lpstr>CHEE342!Print_Area</vt:lpstr>
      <vt:lpstr>CHEE360!Print_Area</vt:lpstr>
      <vt:lpstr>CHEE380!Print_Area</vt:lpstr>
      <vt:lpstr>CHEE405!Print_Area</vt:lpstr>
      <vt:lpstr>CHEE406!Print_Area</vt:lpstr>
      <vt:lpstr>CHEE408!Print_Area</vt:lpstr>
      <vt:lpstr>CHEE412!Print_Area</vt:lpstr>
      <vt:lpstr>CHEE418!Print_Area</vt:lpstr>
      <vt:lpstr>CHEE420!Print_Area</vt:lpstr>
      <vt:lpstr>CHEE421!Print_Area</vt:lpstr>
      <vt:lpstr>CHEE434!Print_Area</vt:lpstr>
      <vt:lpstr>CHEE436!Print_Area</vt:lpstr>
      <vt:lpstr>CHEE440!Print_Area</vt:lpstr>
      <vt:lpstr>CHEE450!Print_Area</vt:lpstr>
      <vt:lpstr>CHEE452!Print_Area</vt:lpstr>
      <vt:lpstr>CHEE460!Print_Area</vt:lpstr>
      <vt:lpstr>CHEE461!Print_Area</vt:lpstr>
      <vt:lpstr>CHEE470!Print_Area</vt:lpstr>
      <vt:lpstr>CHEE481!Print_Area</vt:lpstr>
      <vt:lpstr>CHEE484!Print_Area</vt:lpstr>
      <vt:lpstr>CHEE490!Print_Area</vt:lpstr>
      <vt:lpstr>CIS!Print_Area</vt:lpstr>
      <vt:lpstr>CS_ELECT!Print_Area</vt:lpstr>
      <vt:lpstr>ENCH211!Print_Area</vt:lpstr>
      <vt:lpstr>ENCH212!Print_Area</vt:lpstr>
      <vt:lpstr>ENCH213!Print_Area</vt:lpstr>
      <vt:lpstr>ENCH222!Print_Area</vt:lpstr>
      <vt:lpstr>ENCH245!Print_Area</vt:lpstr>
      <vt:lpstr>ENCH311!Print_Area</vt:lpstr>
      <vt:lpstr>ENCH312!Print_Area</vt:lpstr>
      <vt:lpstr>ENCH321!Print_Area</vt:lpstr>
      <vt:lpstr>ENCH322!Print_Area</vt:lpstr>
      <vt:lpstr>ENCH323!Print_Area</vt:lpstr>
      <vt:lpstr>ENCH326!Print_Area</vt:lpstr>
      <vt:lpstr>ENCH345!Print_Area</vt:lpstr>
      <vt:lpstr>ENCH346!Print_Area</vt:lpstr>
      <vt:lpstr>ENCH398!Print_Area</vt:lpstr>
      <vt:lpstr>ENCH399!Print_Area</vt:lpstr>
      <vt:lpstr>ENCH411!Print_Area</vt:lpstr>
      <vt:lpstr>ENCH412!Print_Area</vt:lpstr>
      <vt:lpstr>ENCH413!Print_Area</vt:lpstr>
      <vt:lpstr>ENCH414!Print_Area</vt:lpstr>
      <vt:lpstr>ENCH415!Print_Area</vt:lpstr>
      <vt:lpstr>ENCH417!Print_Area</vt:lpstr>
      <vt:lpstr>ENCH421!Print_Area</vt:lpstr>
      <vt:lpstr>ENCH422!Print_Area</vt:lpstr>
      <vt:lpstr>ENCH423!Print_Area</vt:lpstr>
      <vt:lpstr>ENCH424!Print_Area</vt:lpstr>
      <vt:lpstr>ENCH425!Print_Area</vt:lpstr>
      <vt:lpstr>FIC!Print_Area</vt:lpstr>
      <vt:lpstr>HSS_ELECT!Print_Area</vt:lpstr>
      <vt:lpstr>LANG_ELECT!Print_Area</vt:lpstr>
      <vt:lpstr>MBIO218!Print_Area</vt:lpstr>
      <vt:lpstr>MICR360!Print_Area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2015-08-23T18:58:04Z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